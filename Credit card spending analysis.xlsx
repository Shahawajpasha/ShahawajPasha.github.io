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ch40\Downloads\"/>
    </mc:Choice>
  </mc:AlternateContent>
  <xr:revisionPtr revIDLastSave="0" documentId="8_{A1C1D477-7182-433F-A03E-C102147E846C}" xr6:coauthVersionLast="47" xr6:coauthVersionMax="47" xr10:uidLastSave="{00000000-0000-0000-0000-000000000000}"/>
  <bookViews>
    <workbookView xWindow="-120" yWindow="-120" windowWidth="24240" windowHeight="13140" tabRatio="901" activeTab="5" xr2:uid="{0AC3A5AA-0C19-479D-B30B-AFF604D247FD}"/>
  </bookViews>
  <sheets>
    <sheet name="Monthly_Trend" sheetId="2" r:id="rId1"/>
    <sheet name="Category Analysis" sheetId="3" r:id="rId2"/>
    <sheet name="high spending customers" sheetId="4" r:id="rId3"/>
    <sheet name="weekend analysis" sheetId="6" r:id="rId4"/>
    <sheet name="Dashboard" sheetId="8" r:id="rId5"/>
    <sheet name="credit_card_transactions_500_ro" sheetId="1" r:id="rId6"/>
  </sheets>
  <calcPr calcId="0"/>
  <pivotCaches>
    <pivotCache cacheId="13" r:id="rId7"/>
  </pivotCaches>
</workbook>
</file>

<file path=xl/calcChain.xml><?xml version="1.0" encoding="utf-8"?>
<calcChain xmlns="http://schemas.openxmlformats.org/spreadsheetml/2006/main">
  <c r="A3" i="8" l="1"/>
  <c r="B3" i="8"/>
  <c r="D3" i="8"/>
  <c r="C3" i="8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" i="1"/>
  <c r="L4" i="1"/>
  <c r="L5" i="1"/>
  <c r="L2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3" i="1"/>
  <c r="K4" i="1"/>
  <c r="K5" i="1"/>
  <c r="K6" i="1"/>
  <c r="K7" i="1"/>
  <c r="K8" i="1"/>
  <c r="K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8" i="1"/>
  <c r="J9" i="1"/>
  <c r="J10" i="1"/>
  <c r="J11" i="1"/>
  <c r="J3" i="1"/>
  <c r="J4" i="1"/>
  <c r="J5" i="1"/>
  <c r="J6" i="1"/>
  <c r="J7" i="1"/>
  <c r="J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4" i="1"/>
  <c r="I3" i="1"/>
  <c r="I2" i="1"/>
</calcChain>
</file>

<file path=xl/sharedStrings.xml><?xml version="1.0" encoding="utf-8"?>
<sst xmlns="http://schemas.openxmlformats.org/spreadsheetml/2006/main" count="3054" uniqueCount="610">
  <si>
    <t>Transaction_ID</t>
  </si>
  <si>
    <t>Customer_ID</t>
  </si>
  <si>
    <t>Transaction_Date</t>
  </si>
  <si>
    <t>Amount</t>
  </si>
  <si>
    <t>Category</t>
  </si>
  <si>
    <t>Merchant</t>
  </si>
  <si>
    <t>City</t>
  </si>
  <si>
    <t>Payment_Mode</t>
  </si>
  <si>
    <t>T0001</t>
  </si>
  <si>
    <t>C108</t>
  </si>
  <si>
    <t>Electronics</t>
  </si>
  <si>
    <t>Reliance Digital</t>
  </si>
  <si>
    <t>Mumbai</t>
  </si>
  <si>
    <t>Online</t>
  </si>
  <si>
    <t>T0002</t>
  </si>
  <si>
    <t>C148</t>
  </si>
  <si>
    <t>Travel</t>
  </si>
  <si>
    <t>MakeMyTrip</t>
  </si>
  <si>
    <t>Hyderabad</t>
  </si>
  <si>
    <t>T0003</t>
  </si>
  <si>
    <t>C128</t>
  </si>
  <si>
    <t>Bills</t>
  </si>
  <si>
    <t>Electricity Board</t>
  </si>
  <si>
    <t>T0004</t>
  </si>
  <si>
    <t>C139</t>
  </si>
  <si>
    <t>Pune</t>
  </si>
  <si>
    <t>Swipe</t>
  </si>
  <si>
    <t>T0005</t>
  </si>
  <si>
    <t>C129</t>
  </si>
  <si>
    <t>IRCTC</t>
  </si>
  <si>
    <t>T0006</t>
  </si>
  <si>
    <t>C118</t>
  </si>
  <si>
    <t>Shopping</t>
  </si>
  <si>
    <t>Myntra</t>
  </si>
  <si>
    <t>Bangalore</t>
  </si>
  <si>
    <t>T0007</t>
  </si>
  <si>
    <t>C107</t>
  </si>
  <si>
    <t>Fuel</t>
  </si>
  <si>
    <t>Bharat Petroleum</t>
  </si>
  <si>
    <t>T0008</t>
  </si>
  <si>
    <t>C147</t>
  </si>
  <si>
    <t>Food</t>
  </si>
  <si>
    <t>Swiggy</t>
  </si>
  <si>
    <t>Chennai</t>
  </si>
  <si>
    <t>T0009</t>
  </si>
  <si>
    <t>C119</t>
  </si>
  <si>
    <t>Water Board</t>
  </si>
  <si>
    <t>T0010</t>
  </si>
  <si>
    <t>C105</t>
  </si>
  <si>
    <t>Croma</t>
  </si>
  <si>
    <t>Delhi</t>
  </si>
  <si>
    <t>T0011</t>
  </si>
  <si>
    <t>IndiGo</t>
  </si>
  <si>
    <t>T0012</t>
  </si>
  <si>
    <t>C124</t>
  </si>
  <si>
    <t>T0013</t>
  </si>
  <si>
    <t>C141</t>
  </si>
  <si>
    <t>T0014</t>
  </si>
  <si>
    <t>IndianOil</t>
  </si>
  <si>
    <t>T0015</t>
  </si>
  <si>
    <t>C115</t>
  </si>
  <si>
    <t>Dominos</t>
  </si>
  <si>
    <t>T0016</t>
  </si>
  <si>
    <t>C114</t>
  </si>
  <si>
    <t>T0017</t>
  </si>
  <si>
    <t>C142</t>
  </si>
  <si>
    <t>T0018</t>
  </si>
  <si>
    <t>C136</t>
  </si>
  <si>
    <t>Apple Store</t>
  </si>
  <si>
    <t>T0019</t>
  </si>
  <si>
    <t>C126</t>
  </si>
  <si>
    <t>T0020</t>
  </si>
  <si>
    <t>C149</t>
  </si>
  <si>
    <t>T0021</t>
  </si>
  <si>
    <t>T0022</t>
  </si>
  <si>
    <t>C117</t>
  </si>
  <si>
    <t>T0023</t>
  </si>
  <si>
    <t>C135</t>
  </si>
  <si>
    <t>T0024</t>
  </si>
  <si>
    <t>Amazon</t>
  </si>
  <si>
    <t>T0025</t>
  </si>
  <si>
    <t>T0026</t>
  </si>
  <si>
    <t>C133</t>
  </si>
  <si>
    <t>T0027</t>
  </si>
  <si>
    <t>C150</t>
  </si>
  <si>
    <t>T0028</t>
  </si>
  <si>
    <t>C102</t>
  </si>
  <si>
    <t>T0029</t>
  </si>
  <si>
    <t>C137</t>
  </si>
  <si>
    <t>T0030</t>
  </si>
  <si>
    <t>T0031</t>
  </si>
  <si>
    <t>C134</t>
  </si>
  <si>
    <t>Ajio</t>
  </si>
  <si>
    <t>T0032</t>
  </si>
  <si>
    <t>C120</t>
  </si>
  <si>
    <t>T0033</t>
  </si>
  <si>
    <t>T0034</t>
  </si>
  <si>
    <t>C138</t>
  </si>
  <si>
    <t>Zomato</t>
  </si>
  <si>
    <t>T0035</t>
  </si>
  <si>
    <t>T0036</t>
  </si>
  <si>
    <t>KFC</t>
  </si>
  <si>
    <t>T0037</t>
  </si>
  <si>
    <t>T0038</t>
  </si>
  <si>
    <t>T0039</t>
  </si>
  <si>
    <t>C130</t>
  </si>
  <si>
    <t>T0040</t>
  </si>
  <si>
    <t>T0041</t>
  </si>
  <si>
    <t>T0042</t>
  </si>
  <si>
    <t>C116</t>
  </si>
  <si>
    <t>T0043</t>
  </si>
  <si>
    <t>T0044</t>
  </si>
  <si>
    <t>C127</t>
  </si>
  <si>
    <t>T0045</t>
  </si>
  <si>
    <t>C125</t>
  </si>
  <si>
    <t>T0046</t>
  </si>
  <si>
    <t>C145</t>
  </si>
  <si>
    <t>T0047</t>
  </si>
  <si>
    <t>T0048</t>
  </si>
  <si>
    <t>C104</t>
  </si>
  <si>
    <t>T0049</t>
  </si>
  <si>
    <t>T0050</t>
  </si>
  <si>
    <t>T0051</t>
  </si>
  <si>
    <t>C143</t>
  </si>
  <si>
    <t>T0052</t>
  </si>
  <si>
    <t>C146</t>
  </si>
  <si>
    <t>T0053</t>
  </si>
  <si>
    <t>T0054</t>
  </si>
  <si>
    <t>C140</t>
  </si>
  <si>
    <t>T0055</t>
  </si>
  <si>
    <t>T0056</t>
  </si>
  <si>
    <t>C111</t>
  </si>
  <si>
    <t>T0057</t>
  </si>
  <si>
    <t>T0058</t>
  </si>
  <si>
    <t>T0059</t>
  </si>
  <si>
    <t>T0060</t>
  </si>
  <si>
    <t>C132</t>
  </si>
  <si>
    <t>T0061</t>
  </si>
  <si>
    <t>C103</t>
  </si>
  <si>
    <t>Flipkart</t>
  </si>
  <si>
    <t>T0062</t>
  </si>
  <si>
    <t>T0063</t>
  </si>
  <si>
    <t>T0064</t>
  </si>
  <si>
    <t>T0065</t>
  </si>
  <si>
    <t>T0066</t>
  </si>
  <si>
    <t>T0067</t>
  </si>
  <si>
    <t>T0068</t>
  </si>
  <si>
    <t>C112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</si>
  <si>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</si>
  <si>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</si>
  <si>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</si>
  <si>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</si>
  <si>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</si>
  <si>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</si>
  <si>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</si>
  <si>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</si>
  <si>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</si>
  <si>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</si>
  <si>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</si>
  <si>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</si>
  <si>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</si>
  <si>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</si>
  <si>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</si>
  <si>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</si>
  <si>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</si>
  <si>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</si>
  <si>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</si>
  <si>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</si>
  <si>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</si>
  <si>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</si>
  <si>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</si>
  <si>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</si>
  <si>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</si>
  <si>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</si>
  <si>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</si>
  <si>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C121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</si>
  <si>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</si>
  <si>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</si>
  <si>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</si>
  <si>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</si>
  <si>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</si>
  <si>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</si>
  <si>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</si>
  <si>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</si>
  <si>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</si>
  <si>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</si>
  <si>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</si>
  <si>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C106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</si>
  <si>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</si>
  <si>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</si>
  <si>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</si>
  <si>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</si>
  <si>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</si>
  <si>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</si>
  <si>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</si>
  <si>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</si>
  <si>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</si>
  <si>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</si>
  <si>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</si>
  <si>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</si>
  <si>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</si>
  <si>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</si>
  <si>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</si>
  <si>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</si>
  <si>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C113</t>
  </si>
  <si>
    <t>T0123</t>
  </si>
  <si>
    <t>C131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</si>
  <si>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</si>
  <si>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</si>
  <si>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</si>
  <si>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</si>
  <si>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</si>
  <si>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</si>
  <si>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</si>
  <si>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</si>
  <si>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</si>
  <si>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</si>
  <si>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</si>
  <si>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</si>
  <si>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</si>
  <si>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</si>
  <si>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</si>
  <si>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</si>
  <si>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</si>
  <si>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C101</t>
  </si>
  <si>
    <t>T0141</t>
  </si>
  <si>
    <t>T0142</t>
  </si>
  <si>
    <t>C144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</si>
  <si>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</si>
  <si>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</si>
  <si>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</si>
  <si>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</si>
  <si>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</si>
  <si>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</si>
  <si>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</si>
  <si>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</si>
  <si>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</si>
  <si>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</si>
  <si>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</si>
  <si>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</si>
  <si>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</si>
  <si>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</si>
  <si>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</si>
  <si>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</si>
  <si>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</si>
  <si>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C110</t>
  </si>
  <si>
    <t>T0160</t>
  </si>
  <si>
    <t>T0161</t>
  </si>
  <si>
    <t>T0162</t>
  </si>
  <si>
    <t>C122</t>
  </si>
  <si>
    <t>T0163</t>
  </si>
  <si>
    <t>T0164</t>
  </si>
  <si>
    <t>T0165</t>
  </si>
  <si>
    <t>T0166</t>
  </si>
  <si>
    <t>T0167</t>
  </si>
  <si>
    <t>T0168</t>
  </si>
  <si>
    <t>C109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</si>
  <si>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</si>
  <si>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</si>
  <si>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</si>
  <si>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</si>
  <si>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</si>
  <si>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</si>
  <si>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</si>
  <si>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</si>
  <si>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C123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</si>
  <si>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</si>
  <si>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</si>
  <si>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</si>
  <si>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</si>
  <si>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</si>
  <si>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</si>
  <si>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</si>
  <si>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</si>
  <si>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</si>
  <si>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</si>
  <si>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</si>
  <si>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</si>
  <si>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</si>
  <si>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</si>
  <si>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</si>
  <si>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</si>
  <si>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</si>
  <si>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</si>
  <si>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</si>
  <si>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</si>
  <si>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</si>
  <si>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</si>
  <si>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</si>
  <si>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</si>
  <si>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</si>
  <si>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</si>
  <si>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</si>
  <si>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</si>
  <si>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</si>
  <si>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</si>
  <si>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</si>
  <si>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</si>
  <si>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</si>
  <si>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</si>
  <si>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</si>
  <si>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</si>
  <si>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</si>
  <si>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</si>
  <si>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</si>
  <si>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</si>
  <si>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</si>
  <si>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</si>
  <si>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</si>
  <si>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</si>
  <si>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</si>
  <si>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</si>
  <si>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</si>
  <si>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</si>
  <si>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</si>
  <si>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</si>
  <si>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</si>
  <si>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</si>
  <si>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</si>
  <si>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</si>
  <si>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</si>
  <si>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</si>
  <si>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</si>
  <si>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</si>
  <si>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</si>
  <si>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</si>
  <si>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</si>
  <si>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</si>
  <si>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</si>
  <si>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</si>
  <si>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</si>
  <si>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</si>
  <si>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</si>
  <si>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</si>
  <si>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</si>
  <si>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</si>
  <si>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</si>
  <si>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</si>
  <si>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</si>
  <si>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</si>
  <si>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</si>
  <si>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</si>
  <si>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</si>
  <si>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</si>
  <si>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</si>
  <si>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</si>
  <si>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</si>
  <si>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</si>
  <si>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</si>
  <si>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</si>
  <si>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</si>
  <si>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</si>
  <si>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</si>
  <si>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</si>
  <si>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</si>
  <si>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</si>
  <si>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</si>
  <si>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</si>
  <si>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</si>
  <si>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</si>
  <si>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</si>
  <si>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</si>
  <si>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</si>
  <si>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</si>
  <si>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</si>
  <si>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</si>
  <si>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</si>
  <si>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</si>
  <si>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</si>
  <si>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</si>
  <si>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</si>
  <si>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</si>
  <si>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</si>
  <si>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</si>
  <si>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</si>
  <si>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</si>
  <si>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</si>
  <si>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</si>
  <si>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</si>
  <si>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</si>
  <si>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</si>
  <si>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</si>
  <si>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</si>
  <si>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</si>
  <si>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</si>
  <si>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</si>
  <si>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</si>
  <si>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</si>
  <si>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</si>
  <si>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</si>
  <si>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</si>
  <si>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</si>
  <si>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</si>
  <si>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</si>
  <si>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</si>
  <si>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</si>
  <si>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</si>
  <si>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</si>
  <si>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</si>
  <si>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</si>
  <si>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</si>
  <si>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</si>
  <si>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</si>
  <si>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</si>
  <si>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</si>
  <si>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</si>
  <si>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</si>
  <si>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</si>
  <si>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</si>
  <si>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</si>
  <si>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</si>
  <si>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</si>
  <si>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</si>
  <si>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</si>
  <si>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</si>
  <si>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</si>
  <si>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</si>
  <si>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</si>
  <si>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</si>
  <si>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</si>
  <si>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</si>
  <si>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</si>
  <si>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</si>
  <si>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</si>
  <si>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</si>
  <si>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</si>
  <si>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</si>
  <si>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</si>
  <si>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</si>
  <si>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</si>
  <si>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</si>
  <si>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</si>
  <si>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</si>
  <si>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</si>
  <si>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</si>
  <si>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</si>
  <si>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</si>
  <si>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</si>
  <si>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</si>
  <si>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</si>
  <si>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</si>
  <si>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</si>
  <si>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</si>
  <si>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</si>
  <si>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</si>
  <si>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</si>
  <si>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</si>
  <si>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</si>
  <si>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</si>
  <si>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</si>
  <si>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</si>
  <si>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</si>
  <si>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</si>
  <si>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</si>
  <si>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</si>
  <si>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</si>
  <si>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</si>
  <si>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</si>
  <si>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</si>
  <si>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</si>
  <si>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</si>
  <si>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</si>
  <si>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</si>
  <si>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</si>
  <si>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</si>
  <si>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</si>
  <si>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</si>
  <si>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</si>
  <si>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</si>
  <si>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</si>
  <si>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</si>
  <si>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</si>
  <si>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</si>
  <si>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</si>
  <si>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</si>
  <si>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</si>
  <si>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</si>
  <si>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</si>
  <si>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</si>
  <si>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</si>
  <si>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</si>
  <si>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</si>
  <si>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</si>
  <si>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</si>
  <si>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</si>
  <si>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</si>
  <si>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</si>
  <si>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</si>
  <si>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</si>
  <si>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</si>
  <si>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</si>
  <si>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</si>
  <si>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</si>
  <si>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</si>
  <si>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</si>
  <si>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</si>
  <si>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</si>
  <si>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</si>
  <si>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</si>
  <si>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</si>
  <si>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</si>
  <si>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</si>
  <si>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</si>
  <si>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</si>
  <si>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</si>
  <si>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</si>
  <si>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</si>
  <si>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</si>
  <si>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</si>
  <si>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</si>
  <si>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</si>
  <si>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</si>
  <si>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</si>
  <si>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</si>
  <si>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</si>
  <si>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</si>
  <si>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</si>
  <si>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</si>
  <si>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</si>
  <si>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</si>
  <si>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</si>
  <si>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</si>
  <si>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</si>
  <si>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</si>
  <si>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</si>
  <si>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</si>
  <si>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</si>
  <si>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</si>
  <si>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</si>
  <si>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</si>
  <si>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</si>
  <si>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</si>
  <si>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</si>
  <si>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</si>
  <si>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</si>
  <si>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</si>
  <si>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</si>
  <si>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</si>
  <si>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</si>
  <si>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</si>
  <si>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</si>
  <si>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</si>
  <si>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</si>
  <si>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</si>
  <si>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</si>
  <si>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</si>
  <si>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</si>
  <si>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</si>
  <si>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</si>
  <si>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</si>
  <si>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</si>
  <si>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</si>
  <si>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</si>
  <si>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</si>
  <si>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</si>
  <si>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</si>
  <si>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</si>
  <si>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</si>
  <si>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</si>
  <si>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</si>
  <si>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</si>
  <si>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</si>
  <si>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</si>
  <si>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</si>
  <si>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</si>
  <si>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</si>
  <si>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</si>
  <si>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</si>
  <si>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</si>
  <si>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</si>
  <si>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</si>
  <si>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</si>
  <si>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</si>
  <si>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</si>
  <si>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</si>
  <si>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</si>
  <si>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</si>
  <si>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</si>
  <si>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</si>
  <si>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</si>
  <si>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</si>
  <si>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</si>
  <si>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</si>
  <si>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</si>
  <si>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</si>
  <si>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</si>
  <si>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</si>
  <si>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</si>
  <si>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</si>
  <si>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</si>
  <si>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Day</t>
  </si>
  <si>
    <t>High Value Flag</t>
  </si>
  <si>
    <t>Suspicious_flag</t>
  </si>
  <si>
    <t>Weekend/day</t>
  </si>
  <si>
    <t>Row Labels</t>
  </si>
  <si>
    <t>Grand Total</t>
  </si>
  <si>
    <t>Jan</t>
  </si>
  <si>
    <t>Feb</t>
  </si>
  <si>
    <t>Mar</t>
  </si>
  <si>
    <t>Apr</t>
  </si>
  <si>
    <t>Sum of Amount</t>
  </si>
  <si>
    <t>High Value</t>
  </si>
  <si>
    <t>Weekday</t>
  </si>
  <si>
    <t>Weekend</t>
  </si>
  <si>
    <t>Suspicious Transaction</t>
  </si>
  <si>
    <t xml:space="preserve">                 Total Spend</t>
  </si>
  <si>
    <t xml:space="preserve">     Total Transaction amount</t>
  </si>
  <si>
    <t xml:space="preserve">       High value transaction</t>
  </si>
  <si>
    <t>KPI CARDS</t>
  </si>
  <si>
    <r>
      <t xml:space="preserve">               </t>
    </r>
    <r>
      <rPr>
        <b/>
        <i/>
        <u/>
        <sz val="30"/>
        <color theme="1"/>
        <rFont val="Calibri"/>
        <family val="2"/>
        <scheme val="minor"/>
      </rPr>
      <t>CHARTS TO BE VISUALISED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</si>
</sst>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40"/>
      <color theme="1"/>
      <name val="Arial Black"/>
      <family val="2"/>
    </font>
    <font>
      <b/>
      <i/>
      <u/>
      <sz val="3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10" xfId="0" applyFont="1" applyBorder="1"/>
    <xf numFmtId="0" fontId="19" fillId="0" borderId="11" xfId="0" applyFont="1" applyBorder="1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0" xfId="0" applyFont="1"/>
    <xf numFmtId="0" fontId="18" fillId="0" borderId="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analysis.xlsx]Monthly_Trend!PivotTable1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Monthly_Trend!$B$4:$B$8</c:f>
              <c:numCache>
                <c:formatCode>General</c:formatCode>
                <c:ptCount val="4"/>
                <c:pt idx="0">
                  <c:v>7616638</c:v>
                </c:pt>
                <c:pt idx="1">
                  <c:v>6250749</c:v>
                </c:pt>
                <c:pt idx="2">
                  <c:v>7373342</c:v>
                </c:pt>
                <c:pt idx="3">
                  <c:v>8512669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F-4275-BD7C-6D8B8732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661600"/>
        <c:axId val="576658000"/>
      </c:lineChart>
      <c:catAx>
        <c:axId val="5766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58000"/>
        <c:crosses val="autoZero"/>
        <c:auto val="1"/>
        <c:lblAlgn val="ctr"/>
        <c:lblOffset val="100"/>
        <c:noMultiLvlLbl val="0"/>
      </c:catAx>
      <c:valAx>
        <c:axId val="5766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analysis.xlsx]Category Analysis!PivotTable2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Analysis'!$A$4:$A$10</c:f>
              <c:strCache>
                <c:ptCount val="6"/>
                <c:pt idx="0">
                  <c:v>Shopping</c:v>
                </c:pt>
                <c:pt idx="1">
                  <c:v>Travel</c:v>
                </c:pt>
                <c:pt idx="2">
                  <c:v>Electronics</c:v>
                </c:pt>
                <c:pt idx="3">
                  <c:v>Food</c:v>
                </c:pt>
                <c:pt idx="4">
                  <c:v>Fuel</c:v>
                </c:pt>
                <c:pt idx="5">
                  <c:v>Bills</c:v>
                </c:pt>
              </c:strCache>
            </c:strRef>
          </c:cat>
          <c:val>
            <c:numRef>
              <c:f>'Category Analysis'!$B$4:$B$10</c:f>
              <c:numCache>
                <c:formatCode>General</c:formatCode>
                <c:ptCount val="6"/>
                <c:pt idx="0">
                  <c:v>4094804</c:v>
                </c:pt>
                <c:pt idx="1">
                  <c:v>4402362</c:v>
                </c:pt>
                <c:pt idx="2">
                  <c:v>4462860</c:v>
                </c:pt>
                <c:pt idx="3">
                  <c:v>5017288</c:v>
                </c:pt>
                <c:pt idx="4">
                  <c:v>5780661</c:v>
                </c:pt>
                <c:pt idx="5">
                  <c:v>5995423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B-4A0F-9FCD-230D8FC61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6659080"/>
        <c:axId val="576659440"/>
        <c:axId val="0"/>
      </c:bar3DChart>
      <c:catAx>
        <c:axId val="57665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59440"/>
        <c:crosses val="autoZero"/>
        <c:auto val="1"/>
        <c:lblAlgn val="ctr"/>
        <c:lblOffset val="100"/>
        <c:noMultiLvlLbl val="0"/>
      </c:catAx>
      <c:valAx>
        <c:axId val="5766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5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44440"/>
        <c:axId val="581045160"/>
      </c:barChart>
      <c:catAx>
        <c:axId val="581044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45160"/>
        <c:crosses val="autoZero"/>
        <c:auto val="1"/>
        <c:lblAlgn val="ctr"/>
        <c:lblOffset val="100"/>
        <c:noMultiLvlLbl val="0"/>
      </c:catAx>
      <c:valAx>
        <c:axId val="58104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44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analysis.xlsx]high spending customers!PivotTable3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Spending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74759405074361"/>
          <c:y val="0.37800488480606592"/>
          <c:w val="0.50362270341207349"/>
          <c:h val="0.53774387576552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'high spending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spending customers'!$A$4:$A$14</c:f>
              <c:strCache>
                <c:ptCount val="10"/>
                <c:pt idx="0">
                  <c:v>C107</c:v>
                </c:pt>
                <c:pt idx="1">
                  <c:v>C127</c:v>
                </c:pt>
                <c:pt idx="2">
                  <c:v>C137</c:v>
                </c:pt>
                <c:pt idx="3">
                  <c:v>C129</c:v>
                </c:pt>
                <c:pt idx="4">
                  <c:v>C149</c:v>
                </c:pt>
                <c:pt idx="5">
                  <c:v>C105</c:v>
                </c:pt>
                <c:pt idx="6">
                  <c:v>C128</c:v>
                </c:pt>
                <c:pt idx="7">
                  <c:v>C142</c:v>
                </c:pt>
                <c:pt idx="8">
                  <c:v>C148</c:v>
                </c:pt>
                <c:pt idx="9">
                  <c:v>C131</c:v>
                </c:pt>
              </c:strCache>
            </c:strRef>
          </c:cat>
          <c:val>
            <c:numRef>
              <c:f>'high spending customers'!$B$4:$B$14</c:f>
              <c:numCache>
                <c:formatCode>General</c:formatCode>
                <c:ptCount val="10"/>
                <c:pt idx="0">
                  <c:v>1082781</c:v>
                </c:pt>
                <c:pt idx="1">
                  <c:v>1069214</c:v>
                </c:pt>
                <c:pt idx="2">
                  <c:v>979644</c:v>
                </c:pt>
                <c:pt idx="3">
                  <c:v>883884</c:v>
                </c:pt>
                <c:pt idx="4">
                  <c:v>720275</c:v>
                </c:pt>
                <c:pt idx="5">
                  <c:v>717515</c:v>
                </c:pt>
                <c:pt idx="6">
                  <c:v>690803</c:v>
                </c:pt>
                <c:pt idx="7">
                  <c:v>687818</c:v>
                </c:pt>
                <c:pt idx="8">
                  <c:v>653679</c:v>
                </c:pt>
                <c:pt idx="9">
                  <c:v>649386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D-45F4-9348-8C4C8DA62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901992"/>
        <c:axId val="376902712"/>
      </c:barChart>
      <c:catAx>
        <c:axId val="37690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02712"/>
        <c:crosses val="autoZero"/>
        <c:auto val="1"/>
        <c:lblAlgn val="ctr"/>
        <c:lblOffset val="100"/>
        <c:noMultiLvlLbl val="0"/>
      </c:catAx>
      <c:valAx>
        <c:axId val="37690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0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analysis.xlsx]weekend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Weekend/Weekday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'weekend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'weekend analysis'!$A$4:$A$6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'weekend analysis'!$B$4:$B$6</c:f>
              <c:numCache>
                <c:formatCode>General</c:formatCode>
                <c:ptCount val="2"/>
                <c:pt idx="0">
                  <c:v>23353537</c:v>
                </c:pt>
                <c:pt idx="1">
                  <c:v>6399861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9-4404-880E-5841E1A83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analysis.xlsx]Monthly_Trend!PivotTable1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Monthly_Trend!$B$4:$B$8</c:f>
              <c:numCache>
                <c:formatCode>General</c:formatCode>
                <c:ptCount val="4"/>
                <c:pt idx="0">
                  <c:v>7616638</c:v>
                </c:pt>
                <c:pt idx="1">
                  <c:v>6250749</c:v>
                </c:pt>
                <c:pt idx="2">
                  <c:v>7373342</c:v>
                </c:pt>
                <c:pt idx="3">
                  <c:v>8512669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A-4447-8757-DE76B070B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661600"/>
        <c:axId val="576658000"/>
      </c:lineChart>
      <c:catAx>
        <c:axId val="5766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58000"/>
        <c:crosses val="autoZero"/>
        <c:auto val="1"/>
        <c:lblAlgn val="ctr"/>
        <c:lblOffset val="100"/>
        <c:noMultiLvlLbl val="0"/>
      </c:catAx>
      <c:valAx>
        <c:axId val="5766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analysis.xlsx]Category Analysis!PivotTable2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Analysis'!$A$4:$A$10</c:f>
              <c:strCache>
                <c:ptCount val="6"/>
                <c:pt idx="0">
                  <c:v>Shopping</c:v>
                </c:pt>
                <c:pt idx="1">
                  <c:v>Travel</c:v>
                </c:pt>
                <c:pt idx="2">
                  <c:v>Electronics</c:v>
                </c:pt>
                <c:pt idx="3">
                  <c:v>Food</c:v>
                </c:pt>
                <c:pt idx="4">
                  <c:v>Fuel</c:v>
                </c:pt>
                <c:pt idx="5">
                  <c:v>Bills</c:v>
                </c:pt>
              </c:strCache>
            </c:strRef>
          </c:cat>
          <c:val>
            <c:numRef>
              <c:f>'Category Analysis'!$B$4:$B$10</c:f>
              <c:numCache>
                <c:formatCode>General</c:formatCode>
                <c:ptCount val="6"/>
                <c:pt idx="0">
                  <c:v>4094804</c:v>
                </c:pt>
                <c:pt idx="1">
                  <c:v>4402362</c:v>
                </c:pt>
                <c:pt idx="2">
                  <c:v>4462860</c:v>
                </c:pt>
                <c:pt idx="3">
                  <c:v>5017288</c:v>
                </c:pt>
                <c:pt idx="4">
                  <c:v>5780661</c:v>
                </c:pt>
                <c:pt idx="5">
                  <c:v>5995423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1-4D51-9C08-B000736A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6659080"/>
        <c:axId val="576659440"/>
        <c:axId val="0"/>
      </c:bar3DChart>
      <c:catAx>
        <c:axId val="57665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59440"/>
        <c:crosses val="autoZero"/>
        <c:auto val="1"/>
        <c:lblAlgn val="ctr"/>
        <c:lblOffset val="100"/>
        <c:noMultiLvlLbl val="0"/>
      </c:catAx>
      <c:valAx>
        <c:axId val="5766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5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analysis.xlsx]high spending customers!PivotTable3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Spending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74759405074361"/>
          <c:y val="0.37800488480606592"/>
          <c:w val="0.50362270341207349"/>
          <c:h val="0.53774387576552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'high spending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spending customers'!$A$4:$A$14</c:f>
              <c:strCache>
                <c:ptCount val="10"/>
                <c:pt idx="0">
                  <c:v>C107</c:v>
                </c:pt>
                <c:pt idx="1">
                  <c:v>C127</c:v>
                </c:pt>
                <c:pt idx="2">
                  <c:v>C137</c:v>
                </c:pt>
                <c:pt idx="3">
                  <c:v>C129</c:v>
                </c:pt>
                <c:pt idx="4">
                  <c:v>C149</c:v>
                </c:pt>
                <c:pt idx="5">
                  <c:v>C105</c:v>
                </c:pt>
                <c:pt idx="6">
                  <c:v>C128</c:v>
                </c:pt>
                <c:pt idx="7">
                  <c:v>C142</c:v>
                </c:pt>
                <c:pt idx="8">
                  <c:v>C148</c:v>
                </c:pt>
                <c:pt idx="9">
                  <c:v>C131</c:v>
                </c:pt>
              </c:strCache>
            </c:strRef>
          </c:cat>
          <c:val>
            <c:numRef>
              <c:f>'high spending customers'!$B$4:$B$14</c:f>
              <c:numCache>
                <c:formatCode>General</c:formatCode>
                <c:ptCount val="10"/>
                <c:pt idx="0">
                  <c:v>1082781</c:v>
                </c:pt>
                <c:pt idx="1">
                  <c:v>1069214</c:v>
                </c:pt>
                <c:pt idx="2">
                  <c:v>979644</c:v>
                </c:pt>
                <c:pt idx="3">
                  <c:v>883884</c:v>
                </c:pt>
                <c:pt idx="4">
                  <c:v>720275</c:v>
                </c:pt>
                <c:pt idx="5">
                  <c:v>717515</c:v>
                </c:pt>
                <c:pt idx="6">
                  <c:v>690803</c:v>
                </c:pt>
                <c:pt idx="7">
                  <c:v>687818</c:v>
                </c:pt>
                <c:pt idx="8">
                  <c:v>653679</c:v>
                </c:pt>
                <c:pt idx="9">
                  <c:v>649386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3-44A6-B7BD-A956C6EE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901992"/>
        <c:axId val="376902712"/>
      </c:barChart>
      <c:catAx>
        <c:axId val="37690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02712"/>
        <c:crosses val="autoZero"/>
        <c:auto val="1"/>
        <c:lblAlgn val="ctr"/>
        <c:lblOffset val="100"/>
        <c:noMultiLvlLbl val="0"/>
      </c:catAx>
      <c:valAx>
        <c:axId val="37690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0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card spending analysis.xlsx]weekend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Weekend/Weekday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'weekend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F0-4A24-B27B-3E806BB2F2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F0-4A24-B27B-3E806BB2F27F}"/>
              </c:ext>
            </c:extLst>
          </c:dPt>
          <c:cat>
            <c:strRef>
              <c:f>'weekend analysis'!$A$4:$A$6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'weekend analysis'!$B$4:$B$6</c:f>
              <c:numCache>
                <c:formatCode>General</c:formatCode>
                <c:ptCount val="2"/>
                <c:pt idx="0">
                  <c:v>23353537</c:v>
                </c:pt>
                <c:pt idx="1">
                  <c:v>6399861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0-4A24-B27B-3E806BB2F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252412</xdr:colOff>
      <xdr:row>9</xdr:row>
      <xdr:rowOff>100012</xdr:rowOff>
    </xdr:from>
    <xdr:to>
      <xdr:col>6</xdr:col>
      <xdr:colOff>519112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46A9B-3B22-EA3E-3A6D-BE90B8B9E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11</xdr:row>
      <xdr:rowOff>4762</xdr:rowOff>
    </xdr:from>
    <xdr:to>
      <xdr:col>6</xdr:col>
      <xdr:colOff>385762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7CED3-FD81-D4B9-9842-CCF26338E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242887</xdr:colOff>
      <xdr:row>7</xdr:row>
      <xdr:rowOff>80962</xdr:rowOff>
    </xdr:from>
    <xdr:to>
      <xdr:col>9</xdr:col>
      <xdr:colOff>547687</xdr:colOff>
      <xdr:row>21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1634E-4D7E-71BB-61E1-0EF37A227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100012</xdr:colOff>
      <xdr:row>14</xdr:row>
      <xdr:rowOff>80962</xdr:rowOff>
    </xdr:from>
    <xdr:to>
      <xdr:col>6</xdr:col>
      <xdr:colOff>261937</xdr:colOff>
      <xdr:row>28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D9E807-D720-6541-68E4-DB4F80276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576261</xdr:colOff>
      <xdr:row>7</xdr:row>
      <xdr:rowOff>61912</xdr:rowOff>
    </xdr:from>
    <xdr:to>
      <xdr:col>7</xdr:col>
      <xdr:colOff>333374</xdr:colOff>
      <xdr:row>21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33457-BF34-94CE-1BC4-E7174FCB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28575</xdr:rowOff>
    </xdr:from>
    <xdr:to>
      <xdr:col>2</xdr:col>
      <xdr:colOff>9525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A0955-1539-4436-BC7F-D075C0EB1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2</xdr:col>
      <xdr:colOff>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3AE96-68F6-4942-BBCB-E0CC4AD1D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4</xdr:row>
      <xdr:rowOff>19050</xdr:rowOff>
    </xdr:from>
    <xdr:to>
      <xdr:col>4</xdr:col>
      <xdr:colOff>0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B4489E-2D8E-4854-AAAC-44BCAFA79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2266949</xdr:colOff>
      <xdr:row>21</xdr:row>
      <xdr:rowOff>0</xdr:rowOff>
    </xdr:from>
    <xdr:to>
      <xdr:col>4</xdr:col>
      <xdr:colOff>28574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D1400C-6753-4215-88C6-47BCE2765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jch40" refreshedDate="46029.550828240739" createdVersion="8" refreshedVersion="8" minRefreshableVersion="3" recordCount="500" xr:uid="{A6B804CE-B56D-4F76-AFFA-678FE401921A}">
  <cacheSource type="worksheet">
    <worksheetSource ref="A1:L501" sheet="credit_card_transactions_500_ro"/>
  </cacheSource>
  <cacheFields count="13">
    <cacheField name="Transaction_ID" numFmtId="0">
      <sharedItems/>
    </cacheField>
    <cacheField name="Customer_ID" numFmtId="0">
      <sharedItems count="50">
        <s v="C108"/>
        <s v="C148"/>
        <s v="C128"/>
        <s v="C139"/>
        <s v="C129"/>
        <s v="C118"/>
        <s v="C107"/>
        <s v="C147"/>
        <s v="C119"/>
        <s v="C105"/>
        <s v="C124"/>
        <s v="C141"/>
        <s v="C115"/>
        <s v="C114"/>
        <s v="C142"/>
        <s v="C136"/>
        <s v="C126"/>
        <s v="C149"/>
        <s v="C117"/>
        <s v="C135"/>
        <s v="C133"/>
        <s v="C150"/>
        <s v="C102"/>
        <s v="C137"/>
        <s v="C134"/>
        <s v="C120"/>
        <s v="C138"/>
        <s v="C130"/>
        <s v="C116"/>
        <s v="C127"/>
        <s v="C125"/>
        <s v="C145"/>
        <s v="C104"/>
        <s v="C143"/>
        <s v="C146"/>
        <s v="C140"/>
        <s v="C111"/>
        <s v="C132"/>
        <s v="C103"/>
        <s v="C112"/>
        <s v="C121"/>
        <s v="C106"/>
        <s v="C113"/>
        <s v="C131"/>
        <s v="C101"/>
        <s v="C144"/>
        <s v="C110"/>
        <s v="C122"/>
        <s v="C109"/>
        <s v="C123"/>
      </sharedItems>
    </cacheField>
    <cacheField name="Transaction_Date" numFmtId="14">
      <sharedItems containsSemiMixedTypes="0" containsNonDate="0" containsDate="1" containsString="0" minDate="2024-01-01T00:00:00" maxDate="2024-05-01T00:00:00" count="119">
        <d v="2024-01-04T00:00:00"/>
        <d v="2024-01-14T00:00:00"/>
        <d v="2024-01-05T00:00:00"/>
        <d v="2024-03-16T00:00:00"/>
        <d v="2024-01-20T00:00:00"/>
        <d v="2024-02-15T00:00:00"/>
        <d v="2024-02-28T00:00:00"/>
        <d v="2024-04-16T00:00:00"/>
        <d v="2024-01-06T00:00:00"/>
        <d v="2024-02-18T00:00:00"/>
        <d v="2024-01-22T00:00:00"/>
        <d v="2024-04-28T00:00:00"/>
        <d v="2024-04-15T00:00:00"/>
        <d v="2024-04-26T00:00:00"/>
        <d v="2024-03-09T00:00:00"/>
        <d v="2024-02-16T00:00:00"/>
        <d v="2024-01-07T00:00:00"/>
        <d v="2024-03-17T00:00:00"/>
        <d v="2024-03-11T00:00:00"/>
        <d v="2024-04-06T00:00:00"/>
        <d v="2024-01-21T00:00:00"/>
        <d v="2024-01-23T00:00:00"/>
        <d v="2024-03-18T00:00:00"/>
        <d v="2024-01-15T00:00:00"/>
        <d v="2024-01-11T00:00:00"/>
        <d v="2024-01-17T00:00:00"/>
        <d v="2024-04-21T00:00:00"/>
        <d v="2024-02-21T00:00:00"/>
        <d v="2024-01-16T00:00:00"/>
        <d v="2024-01-08T00:00:00"/>
        <d v="2024-01-31T00:00:00"/>
        <d v="2024-03-14T00:00:00"/>
        <d v="2024-01-13T00:00:00"/>
        <d v="2024-04-20T00:00:00"/>
        <d v="2024-04-03T00:00:00"/>
        <d v="2024-02-27T00:00:00"/>
        <d v="2024-03-10T00:00:00"/>
        <d v="2024-03-03T00:00:00"/>
        <d v="2024-01-01T00:00:00"/>
        <d v="2024-03-15T00:00:00"/>
        <d v="2024-02-01T00:00:00"/>
        <d v="2024-02-10T00:00:00"/>
        <d v="2024-02-08T00:00:00"/>
        <d v="2024-03-13T00:00:00"/>
        <d v="2024-02-26T00:00:00"/>
        <d v="2024-04-05T00:00:00"/>
        <d v="2024-04-01T00:00:00"/>
        <d v="2024-02-02T00:00:00"/>
        <d v="2024-04-30T00:00:00"/>
        <d v="2024-04-25T00:00:00"/>
        <d v="2024-03-26T00:00:00"/>
        <d v="2024-04-04T00:00:00"/>
        <d v="2024-04-10T00:00:00"/>
        <d v="2024-01-26T00:00:00"/>
        <d v="2024-04-08T00:00:00"/>
        <d v="2024-02-12T00:00:00"/>
        <d v="2024-03-06T00:00:00"/>
        <d v="2024-03-31T00:00:00"/>
        <d v="2024-01-09T00:00:00"/>
        <d v="2024-04-02T00:00:00"/>
        <d v="2024-02-11T00:00:00"/>
        <d v="2024-03-25T00:00:00"/>
        <d v="2024-04-23T00:00:00"/>
        <d v="2024-04-12T00:00:00"/>
        <d v="2024-04-27T00:00:00"/>
        <d v="2024-03-08T00:00:00"/>
        <d v="2024-04-24T00:00:00"/>
        <d v="2024-02-05T00:00:00"/>
        <d v="2024-01-10T00:00:00"/>
        <d v="2024-03-29T00:00:00"/>
        <d v="2024-02-19T00:00:00"/>
        <d v="2024-03-02T00:00:00"/>
        <d v="2024-04-17T00:00:00"/>
        <d v="2024-01-24T00:00:00"/>
        <d v="2024-03-01T00:00:00"/>
        <d v="2024-04-09T00:00:00"/>
        <d v="2024-03-20T00:00:00"/>
        <d v="2024-04-13T00:00:00"/>
        <d v="2024-03-19T00:00:00"/>
        <d v="2024-04-22T00:00:00"/>
        <d v="2024-03-23T00:00:00"/>
        <d v="2024-01-29T00:00:00"/>
        <d v="2024-01-25T00:00:00"/>
        <d v="2024-02-07T00:00:00"/>
        <d v="2024-03-30T00:00:00"/>
        <d v="2024-04-11T00:00:00"/>
        <d v="2024-02-22T00:00:00"/>
        <d v="2024-01-30T00:00:00"/>
        <d v="2024-03-04T00:00:00"/>
        <d v="2024-02-04T00:00:00"/>
        <d v="2024-02-09T00:00:00"/>
        <d v="2024-04-29T00:00:00"/>
        <d v="2024-03-05T00:00:00"/>
        <d v="2024-02-20T00:00:00"/>
        <d v="2024-04-07T00:00:00"/>
        <d v="2024-02-17T00:00:00"/>
        <d v="2024-03-22T00:00:00"/>
        <d v="2024-03-27T00:00:00"/>
        <d v="2024-02-23T00:00:00"/>
        <d v="2024-01-12T00:00:00"/>
        <d v="2024-04-14T00:00:00"/>
        <d v="2024-04-18T00:00:00"/>
        <d v="2024-02-13T00:00:00"/>
        <d v="2024-03-28T00:00:00"/>
        <d v="2024-03-12T00:00:00"/>
        <d v="2024-02-24T00:00:00"/>
        <d v="2024-02-14T00:00:00"/>
        <d v="2024-01-28T00:00:00"/>
        <d v="2024-02-25T00:00:00"/>
        <d v="2024-01-19T00:00:00"/>
        <d v="2024-03-24T00:00:00"/>
        <d v="2024-03-07T00:00:00"/>
        <d v="2024-02-06T00:00:00"/>
        <d v="2024-01-18T00:00:00"/>
        <d v="2024-01-27T00:00:00"/>
        <d v="2024-02-29T00:00:00"/>
        <d v="2024-01-03T00:00:00"/>
        <d v="2024-03-21T00:00:00"/>
        <d v="2024-04-19T00:00:00"/>
      </sharedItems>
      <fieldGroup par="12"/>
    </cacheField>
    <cacheField name="Amount" numFmtId="0">
      <sharedItems containsSemiMixedTypes="0" containsString="0" containsNumber="1" containsInteger="1" minValue="695" maxValue="119959"/>
    </cacheField>
    <cacheField name="Category" numFmtId="0">
      <sharedItems count="6">
        <s v="Electronics"/>
        <s v="Travel"/>
        <s v="Bills"/>
        <s v="Shopping"/>
        <s v="Fuel"/>
        <s v="Food"/>
      </sharedItems>
    </cacheField>
    <cacheField name="Merchant" numFmtId="0">
      <sharedItems/>
    </cacheField>
    <cacheField name="City" numFmtId="0">
      <sharedItems/>
    </cacheField>
    <cacheField name="Payment_Mode" numFmtId="0">
      <sharedItems/>
    </cacheField>
    <cacheField name="Day" numFmtId="0">
      <sharedItems/>
    </cacheField>
    <cacheField name="Weekend/day" numFmtId="0">
      <sharedItems count="2">
        <s v="Weekday"/>
        <s v="Weekend"/>
      </sharedItems>
    </cacheField>
    <cacheField name="High Value Flag" numFmtId="0">
      <sharedItems count="2">
        <s v="High Value"/>
        <s v="Normal"/>
      </sharedItems>
    </cacheField>
    <cacheField name="Suspicious_flag" numFmtId="0">
      <sharedItems/>
    </cacheField>
    <cacheField name="Months (Transaction_Date)" numFmtId="0" databaseField="0">
      <fieldGroup base="2">
        <rangePr groupBy="months" startDate="2024-01-01T00:00:00" endDate="2024-05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5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0001"/>
    <x v="0"/>
    <x v="0"/>
    <n v="97496"/>
    <x v="0"/>
    <s v="Reliance Digital"/>
    <s v="Mumbai"/>
    <s v="Online"/>
    <s v="Thursday"/>
    <x v="0"/>
    <x v="0"/>
    <s v="Suspicious"/>
  </r>
  <r>
    <s v="T0002"/>
    <x v="1"/>
    <x v="1"/>
    <n v="88996"/>
    <x v="1"/>
    <s v="MakeMyTrip"/>
    <s v="Hyderabad"/>
    <s v="Online"/>
    <s v="Sunday"/>
    <x v="1"/>
    <x v="0"/>
    <s v="Suspicious"/>
  </r>
  <r>
    <s v="T0003"/>
    <x v="2"/>
    <x v="2"/>
    <n v="4205"/>
    <x v="2"/>
    <s v="Electricity Board"/>
    <s v="Mumbai"/>
    <s v="Online"/>
    <s v="Friday"/>
    <x v="0"/>
    <x v="1"/>
    <s v="Normal"/>
  </r>
  <r>
    <s v="T0004"/>
    <x v="3"/>
    <x v="0"/>
    <n v="73863"/>
    <x v="2"/>
    <s v="Electricity Board"/>
    <s v="Pune"/>
    <s v="Swipe"/>
    <s v="Thursday"/>
    <x v="0"/>
    <x v="0"/>
    <s v="Normal"/>
  </r>
  <r>
    <s v="T0005"/>
    <x v="4"/>
    <x v="3"/>
    <n v="36763"/>
    <x v="1"/>
    <s v="IRCTC"/>
    <s v="Mumbai"/>
    <s v="Swipe"/>
    <s v="Saturday"/>
    <x v="1"/>
    <x v="1"/>
    <s v="Normal"/>
  </r>
  <r>
    <s v="T0006"/>
    <x v="5"/>
    <x v="4"/>
    <n v="28521"/>
    <x v="3"/>
    <s v="Myntra"/>
    <s v="Bangalore"/>
    <s v="Online"/>
    <s v="Saturday"/>
    <x v="1"/>
    <x v="1"/>
    <s v="Normal"/>
  </r>
  <r>
    <s v="T0007"/>
    <x v="6"/>
    <x v="5"/>
    <n v="111382"/>
    <x v="4"/>
    <s v="Bharat Petroleum"/>
    <s v="Hyderabad"/>
    <s v="Swipe"/>
    <s v="Thursday"/>
    <x v="0"/>
    <x v="0"/>
    <s v="Suspicious"/>
  </r>
  <r>
    <s v="T0008"/>
    <x v="7"/>
    <x v="6"/>
    <n v="70584"/>
    <x v="5"/>
    <s v="Swiggy"/>
    <s v="Chennai"/>
    <s v="Online"/>
    <s v="Wednesday"/>
    <x v="0"/>
    <x v="0"/>
    <s v="Normal"/>
  </r>
  <r>
    <s v="T0009"/>
    <x v="8"/>
    <x v="7"/>
    <n v="82697"/>
    <x v="2"/>
    <s v="Water Board"/>
    <s v="Hyderabad"/>
    <s v="Online"/>
    <s v="Tuesday"/>
    <x v="0"/>
    <x v="0"/>
    <s v="Suspicious"/>
  </r>
  <r>
    <s v="T0010"/>
    <x v="9"/>
    <x v="8"/>
    <n v="86973"/>
    <x v="0"/>
    <s v="Croma"/>
    <s v="Delhi"/>
    <s v="Online"/>
    <s v="Saturday"/>
    <x v="1"/>
    <x v="0"/>
    <s v="Suspicious"/>
  </r>
  <r>
    <s v="T0011"/>
    <x v="6"/>
    <x v="9"/>
    <n v="36734"/>
    <x v="1"/>
    <s v="IndiGo"/>
    <s v="Pune"/>
    <s v="Swipe"/>
    <s v="Sunday"/>
    <x v="1"/>
    <x v="1"/>
    <s v="Normal"/>
  </r>
  <r>
    <s v="T0012"/>
    <x v="10"/>
    <x v="5"/>
    <n v="27760"/>
    <x v="1"/>
    <s v="MakeMyTrip"/>
    <s v="Delhi"/>
    <s v="Online"/>
    <s v="Thursday"/>
    <x v="0"/>
    <x v="1"/>
    <s v="Normal"/>
  </r>
  <r>
    <s v="T0013"/>
    <x v="11"/>
    <x v="10"/>
    <n v="70310"/>
    <x v="2"/>
    <s v="Electricity Board"/>
    <s v="Mumbai"/>
    <s v="Swipe"/>
    <s v="Monday"/>
    <x v="0"/>
    <x v="0"/>
    <s v="Normal"/>
  </r>
  <r>
    <s v="T0014"/>
    <x v="5"/>
    <x v="11"/>
    <n v="84186"/>
    <x v="4"/>
    <s v="IndianOil"/>
    <s v="Pune"/>
    <s v="Swipe"/>
    <s v="Sunday"/>
    <x v="1"/>
    <x v="0"/>
    <s v="Suspicious"/>
  </r>
  <r>
    <s v="T0015"/>
    <x v="12"/>
    <x v="12"/>
    <n v="4507"/>
    <x v="5"/>
    <s v="Dominos"/>
    <s v="Chennai"/>
    <s v="Swipe"/>
    <s v="Monday"/>
    <x v="0"/>
    <x v="1"/>
    <s v="Normal"/>
  </r>
  <r>
    <s v="T0016"/>
    <x v="13"/>
    <x v="13"/>
    <n v="74641"/>
    <x v="5"/>
    <s v="Dominos"/>
    <s v="Mumbai"/>
    <s v="Swipe"/>
    <s v="Friday"/>
    <x v="0"/>
    <x v="0"/>
    <s v="Normal"/>
  </r>
  <r>
    <s v="T0017"/>
    <x v="14"/>
    <x v="6"/>
    <n v="19026"/>
    <x v="4"/>
    <s v="Bharat Petroleum"/>
    <s v="Mumbai"/>
    <s v="Online"/>
    <s v="Wednesday"/>
    <x v="0"/>
    <x v="1"/>
    <s v="Normal"/>
  </r>
  <r>
    <s v="T0018"/>
    <x v="15"/>
    <x v="14"/>
    <n v="34738"/>
    <x v="0"/>
    <s v="Apple Store"/>
    <s v="Hyderabad"/>
    <s v="Swipe"/>
    <s v="Saturday"/>
    <x v="1"/>
    <x v="1"/>
    <s v="Normal"/>
  </r>
  <r>
    <s v="T0019"/>
    <x v="16"/>
    <x v="15"/>
    <n v="29046"/>
    <x v="2"/>
    <s v="Electricity Board"/>
    <s v="Hyderabad"/>
    <s v="Swipe"/>
    <s v="Friday"/>
    <x v="0"/>
    <x v="1"/>
    <s v="Normal"/>
  </r>
  <r>
    <s v="T0020"/>
    <x v="17"/>
    <x v="16"/>
    <n v="113166"/>
    <x v="5"/>
    <s v="Swiggy"/>
    <s v="Mumbai"/>
    <s v="Online"/>
    <s v="Sunday"/>
    <x v="1"/>
    <x v="0"/>
    <s v="Suspicious"/>
  </r>
  <r>
    <s v="T0021"/>
    <x v="2"/>
    <x v="17"/>
    <n v="8626"/>
    <x v="0"/>
    <s v="Reliance Digital"/>
    <s v="Chennai"/>
    <s v="Swipe"/>
    <s v="Sunday"/>
    <x v="1"/>
    <x v="1"/>
    <s v="Normal"/>
  </r>
  <r>
    <s v="T0022"/>
    <x v="18"/>
    <x v="18"/>
    <n v="113124"/>
    <x v="2"/>
    <s v="Electricity Board"/>
    <s v="Pune"/>
    <s v="Online"/>
    <s v="Monday"/>
    <x v="0"/>
    <x v="0"/>
    <s v="Suspicious"/>
  </r>
  <r>
    <s v="T0023"/>
    <x v="19"/>
    <x v="19"/>
    <n v="35273"/>
    <x v="0"/>
    <s v="Apple Store"/>
    <s v="Delhi"/>
    <s v="Online"/>
    <s v="Saturday"/>
    <x v="1"/>
    <x v="1"/>
    <s v="Normal"/>
  </r>
  <r>
    <s v="T0024"/>
    <x v="2"/>
    <x v="20"/>
    <n v="59770"/>
    <x v="3"/>
    <s v="Amazon"/>
    <s v="Pune"/>
    <s v="Swipe"/>
    <s v="Sunday"/>
    <x v="1"/>
    <x v="0"/>
    <s v="Normal"/>
  </r>
  <r>
    <s v="T0025"/>
    <x v="17"/>
    <x v="21"/>
    <n v="66842"/>
    <x v="2"/>
    <s v="Electricity Board"/>
    <s v="Pune"/>
    <s v="Swipe"/>
    <s v="Tuesday"/>
    <x v="0"/>
    <x v="0"/>
    <s v="Normal"/>
  </r>
  <r>
    <s v="T0026"/>
    <x v="20"/>
    <x v="22"/>
    <n v="26371"/>
    <x v="0"/>
    <s v="Croma"/>
    <s v="Delhi"/>
    <s v="Online"/>
    <s v="Monday"/>
    <x v="0"/>
    <x v="1"/>
    <s v="Normal"/>
  </r>
  <r>
    <s v="T0027"/>
    <x v="21"/>
    <x v="11"/>
    <n v="69814"/>
    <x v="2"/>
    <s v="Electricity Board"/>
    <s v="Hyderabad"/>
    <s v="Swipe"/>
    <s v="Sunday"/>
    <x v="1"/>
    <x v="0"/>
    <s v="Normal"/>
  </r>
  <r>
    <s v="T0028"/>
    <x v="22"/>
    <x v="23"/>
    <n v="47876"/>
    <x v="4"/>
    <s v="Bharat Petroleum"/>
    <s v="Mumbai"/>
    <s v="Online"/>
    <s v="Monday"/>
    <x v="0"/>
    <x v="1"/>
    <s v="Normal"/>
  </r>
  <r>
    <s v="T0029"/>
    <x v="23"/>
    <x v="24"/>
    <n v="11526"/>
    <x v="1"/>
    <s v="MakeMyTrip"/>
    <s v="Chennai"/>
    <s v="Online"/>
    <s v="Thursday"/>
    <x v="0"/>
    <x v="1"/>
    <s v="Normal"/>
  </r>
  <r>
    <s v="T0030"/>
    <x v="21"/>
    <x v="25"/>
    <n v="17128"/>
    <x v="2"/>
    <s v="Water Board"/>
    <s v="Hyderabad"/>
    <s v="Online"/>
    <s v="Wednesday"/>
    <x v="0"/>
    <x v="1"/>
    <s v="Normal"/>
  </r>
  <r>
    <s v="T0031"/>
    <x v="24"/>
    <x v="26"/>
    <n v="79807"/>
    <x v="3"/>
    <s v="Ajio"/>
    <s v="Mumbai"/>
    <s v="Online"/>
    <s v="Sunday"/>
    <x v="1"/>
    <x v="0"/>
    <s v="Suspicious"/>
  </r>
  <r>
    <s v="T0032"/>
    <x v="25"/>
    <x v="27"/>
    <n v="88339"/>
    <x v="0"/>
    <s v="Apple Store"/>
    <s v="Delhi"/>
    <s v="Swipe"/>
    <s v="Wednesday"/>
    <x v="0"/>
    <x v="0"/>
    <s v="Suspicious"/>
  </r>
  <r>
    <s v="T0033"/>
    <x v="4"/>
    <x v="28"/>
    <n v="32793"/>
    <x v="2"/>
    <s v="Electricity Board"/>
    <s v="Bangalore"/>
    <s v="Swipe"/>
    <s v="Tuesday"/>
    <x v="0"/>
    <x v="1"/>
    <s v="Normal"/>
  </r>
  <r>
    <s v="T0034"/>
    <x v="26"/>
    <x v="18"/>
    <n v="30461"/>
    <x v="5"/>
    <s v="Zomato"/>
    <s v="Bangalore"/>
    <s v="Online"/>
    <s v="Monday"/>
    <x v="0"/>
    <x v="1"/>
    <s v="Normal"/>
  </r>
  <r>
    <s v="T0035"/>
    <x v="11"/>
    <x v="29"/>
    <n v="30307"/>
    <x v="0"/>
    <s v="Croma"/>
    <s v="Bangalore"/>
    <s v="Swipe"/>
    <s v="Monday"/>
    <x v="0"/>
    <x v="1"/>
    <s v="Normal"/>
  </r>
  <r>
    <s v="T0036"/>
    <x v="20"/>
    <x v="30"/>
    <n v="36800"/>
    <x v="5"/>
    <s v="KFC"/>
    <s v="Mumbai"/>
    <s v="Online"/>
    <s v="Wednesday"/>
    <x v="0"/>
    <x v="1"/>
    <s v="Normal"/>
  </r>
  <r>
    <s v="T0037"/>
    <x v="23"/>
    <x v="31"/>
    <n v="62253"/>
    <x v="0"/>
    <s v="Croma"/>
    <s v="Chennai"/>
    <s v="Swipe"/>
    <s v="Thursday"/>
    <x v="0"/>
    <x v="0"/>
    <s v="Normal"/>
  </r>
  <r>
    <s v="T0038"/>
    <x v="6"/>
    <x v="32"/>
    <n v="86674"/>
    <x v="1"/>
    <s v="IndiGo"/>
    <s v="Delhi"/>
    <s v="Swipe"/>
    <s v="Saturday"/>
    <x v="1"/>
    <x v="0"/>
    <s v="Suspicious"/>
  </r>
  <r>
    <s v="T0039"/>
    <x v="27"/>
    <x v="33"/>
    <n v="95861"/>
    <x v="4"/>
    <s v="IndianOil"/>
    <s v="Pune"/>
    <s v="Online"/>
    <s v="Saturday"/>
    <x v="1"/>
    <x v="0"/>
    <s v="Suspicious"/>
  </r>
  <r>
    <s v="T0040"/>
    <x v="16"/>
    <x v="34"/>
    <n v="44773"/>
    <x v="5"/>
    <s v="Swiggy"/>
    <s v="Mumbai"/>
    <s v="Online"/>
    <s v="Wednesday"/>
    <x v="0"/>
    <x v="1"/>
    <s v="Normal"/>
  </r>
  <r>
    <s v="T0041"/>
    <x v="19"/>
    <x v="35"/>
    <n v="18673"/>
    <x v="1"/>
    <s v="IndiGo"/>
    <s v="Mumbai"/>
    <s v="Swipe"/>
    <s v="Tuesday"/>
    <x v="0"/>
    <x v="1"/>
    <s v="Normal"/>
  </r>
  <r>
    <s v="T0042"/>
    <x v="28"/>
    <x v="26"/>
    <n v="10180"/>
    <x v="4"/>
    <s v="Bharat Petroleum"/>
    <s v="Hyderabad"/>
    <s v="Online"/>
    <s v="Sunday"/>
    <x v="1"/>
    <x v="1"/>
    <s v="Normal"/>
  </r>
  <r>
    <s v="T0043"/>
    <x v="14"/>
    <x v="36"/>
    <n v="109879"/>
    <x v="5"/>
    <s v="Swiggy"/>
    <s v="Bangalore"/>
    <s v="Online"/>
    <s v="Sunday"/>
    <x v="1"/>
    <x v="0"/>
    <s v="Suspicious"/>
  </r>
  <r>
    <s v="T0044"/>
    <x v="29"/>
    <x v="37"/>
    <n v="63392"/>
    <x v="1"/>
    <s v="IRCTC"/>
    <s v="Chennai"/>
    <s v="Online"/>
    <s v="Sunday"/>
    <x v="1"/>
    <x v="0"/>
    <s v="Normal"/>
  </r>
  <r>
    <s v="T0045"/>
    <x v="30"/>
    <x v="38"/>
    <n v="51473"/>
    <x v="1"/>
    <s v="IndiGo"/>
    <s v="Chennai"/>
    <s v="Swipe"/>
    <s v="Monday"/>
    <x v="0"/>
    <x v="0"/>
    <s v="Normal"/>
  </r>
  <r>
    <s v="T0046"/>
    <x v="31"/>
    <x v="34"/>
    <n v="102976"/>
    <x v="4"/>
    <s v="Bharat Petroleum"/>
    <s v="Mumbai"/>
    <s v="Online"/>
    <s v="Wednesday"/>
    <x v="0"/>
    <x v="0"/>
    <s v="Suspicious"/>
  </r>
  <r>
    <s v="T0047"/>
    <x v="13"/>
    <x v="29"/>
    <n v="76214"/>
    <x v="3"/>
    <s v="Amazon"/>
    <s v="Pune"/>
    <s v="Swipe"/>
    <s v="Monday"/>
    <x v="0"/>
    <x v="0"/>
    <s v="Suspicious"/>
  </r>
  <r>
    <s v="T0048"/>
    <x v="32"/>
    <x v="39"/>
    <n v="62793"/>
    <x v="5"/>
    <s v="Zomato"/>
    <s v="Bangalore"/>
    <s v="Online"/>
    <s v="Friday"/>
    <x v="0"/>
    <x v="0"/>
    <s v="Normal"/>
  </r>
  <r>
    <s v="T0049"/>
    <x v="9"/>
    <x v="17"/>
    <n v="9207"/>
    <x v="1"/>
    <s v="MakeMyTrip"/>
    <s v="Mumbai"/>
    <s v="Swipe"/>
    <s v="Sunday"/>
    <x v="1"/>
    <x v="1"/>
    <s v="Normal"/>
  </r>
  <r>
    <s v="T0050"/>
    <x v="23"/>
    <x v="40"/>
    <n v="76180"/>
    <x v="5"/>
    <s v="Swiggy"/>
    <s v="Hyderabad"/>
    <s v="Online"/>
    <s v="Thursday"/>
    <x v="0"/>
    <x v="0"/>
    <s v="Suspicious"/>
  </r>
  <r>
    <s v="T0051"/>
    <x v="33"/>
    <x v="39"/>
    <n v="74385"/>
    <x v="4"/>
    <s v="Bharat Petroleum"/>
    <s v="Delhi"/>
    <s v="Online"/>
    <s v="Friday"/>
    <x v="0"/>
    <x v="0"/>
    <s v="Normal"/>
  </r>
  <r>
    <s v="T0052"/>
    <x v="34"/>
    <x v="41"/>
    <n v="31585"/>
    <x v="0"/>
    <s v="Reliance Digital"/>
    <s v="Chennai"/>
    <s v="Online"/>
    <s v="Saturday"/>
    <x v="1"/>
    <x v="1"/>
    <s v="Normal"/>
  </r>
  <r>
    <s v="T0053"/>
    <x v="14"/>
    <x v="42"/>
    <n v="60229"/>
    <x v="0"/>
    <s v="Reliance Digital"/>
    <s v="Bangalore"/>
    <s v="Online"/>
    <s v="Thursday"/>
    <x v="0"/>
    <x v="0"/>
    <s v="Normal"/>
  </r>
  <r>
    <s v="T0054"/>
    <x v="35"/>
    <x v="43"/>
    <n v="13404"/>
    <x v="4"/>
    <s v="IndianOil"/>
    <s v="Hyderabad"/>
    <s v="Online"/>
    <s v="Wednesday"/>
    <x v="0"/>
    <x v="1"/>
    <s v="Normal"/>
  </r>
  <r>
    <s v="T0055"/>
    <x v="18"/>
    <x v="25"/>
    <n v="46045"/>
    <x v="2"/>
    <s v="Electricity Board"/>
    <s v="Mumbai"/>
    <s v="Swipe"/>
    <s v="Wednesday"/>
    <x v="0"/>
    <x v="1"/>
    <s v="Normal"/>
  </r>
  <r>
    <s v="T0056"/>
    <x v="36"/>
    <x v="44"/>
    <n v="109580"/>
    <x v="3"/>
    <s v="Myntra"/>
    <s v="Hyderabad"/>
    <s v="Online"/>
    <s v="Monday"/>
    <x v="0"/>
    <x v="0"/>
    <s v="Suspicious"/>
  </r>
  <r>
    <s v="T0057"/>
    <x v="15"/>
    <x v="42"/>
    <n v="87251"/>
    <x v="0"/>
    <s v="Croma"/>
    <s v="Mumbai"/>
    <s v="Swipe"/>
    <s v="Thursday"/>
    <x v="0"/>
    <x v="0"/>
    <s v="Suspicious"/>
  </r>
  <r>
    <s v="T0058"/>
    <x v="6"/>
    <x v="45"/>
    <n v="72812"/>
    <x v="5"/>
    <s v="Zomato"/>
    <s v="Delhi"/>
    <s v="Swipe"/>
    <s v="Friday"/>
    <x v="0"/>
    <x v="0"/>
    <s v="Normal"/>
  </r>
  <r>
    <s v="T0059"/>
    <x v="13"/>
    <x v="46"/>
    <n v="45242"/>
    <x v="2"/>
    <s v="Electricity Board"/>
    <s v="Pune"/>
    <s v="Swipe"/>
    <s v="Monday"/>
    <x v="0"/>
    <x v="1"/>
    <s v="Normal"/>
  </r>
  <r>
    <s v="T0060"/>
    <x v="37"/>
    <x v="47"/>
    <n v="118964"/>
    <x v="2"/>
    <s v="Electricity Board"/>
    <s v="Bangalore"/>
    <s v="Swipe"/>
    <s v="Friday"/>
    <x v="0"/>
    <x v="0"/>
    <s v="Suspicious"/>
  </r>
  <r>
    <s v="T0061"/>
    <x v="38"/>
    <x v="38"/>
    <n v="44019"/>
    <x v="3"/>
    <s v="Flipkart"/>
    <s v="Pune"/>
    <s v="Swipe"/>
    <s v="Monday"/>
    <x v="0"/>
    <x v="1"/>
    <s v="Normal"/>
  </r>
  <r>
    <s v="T0062"/>
    <x v="1"/>
    <x v="44"/>
    <n v="72609"/>
    <x v="1"/>
    <s v="MakeMyTrip"/>
    <s v="Chennai"/>
    <s v="Online"/>
    <s v="Monday"/>
    <x v="0"/>
    <x v="0"/>
    <s v="Normal"/>
  </r>
  <r>
    <s v="T0063"/>
    <x v="9"/>
    <x v="48"/>
    <n v="116050"/>
    <x v="5"/>
    <s v="Zomato"/>
    <s v="Hyderabad"/>
    <s v="Online"/>
    <s v="Tuesday"/>
    <x v="0"/>
    <x v="0"/>
    <s v="Suspicious"/>
  </r>
  <r>
    <s v="T0064"/>
    <x v="26"/>
    <x v="18"/>
    <n v="19710"/>
    <x v="3"/>
    <s v="Ajio"/>
    <s v="Mumbai"/>
    <s v="Online"/>
    <s v="Monday"/>
    <x v="0"/>
    <x v="1"/>
    <s v="Normal"/>
  </r>
  <r>
    <s v="T0065"/>
    <x v="10"/>
    <x v="49"/>
    <n v="104649"/>
    <x v="3"/>
    <s v="Amazon"/>
    <s v="Delhi"/>
    <s v="Online"/>
    <s v="Thursday"/>
    <x v="0"/>
    <x v="0"/>
    <s v="Suspicious"/>
  </r>
  <r>
    <s v="T0066"/>
    <x v="28"/>
    <x v="50"/>
    <n v="13773"/>
    <x v="0"/>
    <s v="Reliance Digital"/>
    <s v="Hyderabad"/>
    <s v="Swipe"/>
    <s v="Tuesday"/>
    <x v="0"/>
    <x v="1"/>
    <s v="Normal"/>
  </r>
  <r>
    <s v="T0067"/>
    <x v="1"/>
    <x v="4"/>
    <n v="31329"/>
    <x v="2"/>
    <s v="Electricity Board"/>
    <s v="Mumbai"/>
    <s v="Swipe"/>
    <s v="Saturday"/>
    <x v="1"/>
    <x v="1"/>
    <s v="Normal"/>
  </r>
  <r>
    <s v="T0068"/>
    <x v="39"/>
    <x v="51"/>
    <n v="43840"/>
    <x v="5"/>
    <s v="KFC"/>
    <s v="Pune"/>
    <s v="Online"/>
    <s v="Thursday"/>
    <x v="0"/>
    <x v="1"/>
    <s v="Normal"/>
  </r>
  <r>
    <s v="T0069"/>
    <x v="36"/>
    <x v="52"/>
    <n v="92217"/>
    <x v="3"/>
    <s v="Amazon"/>
    <s v="Chennai"/>
    <s v="Online"/>
    <s v="Wednesday"/>
    <x v="0"/>
    <x v="0"/>
    <s v="Suspicious"/>
  </r>
  <r>
    <s v="T0070"/>
    <x v="12"/>
    <x v="53"/>
    <n v="107331"/>
    <x v="4"/>
    <s v="Bharat Petroleum"/>
    <s v="Delhi"/>
    <s v="Swipe"/>
    <s v="Friday"/>
    <x v="0"/>
    <x v="0"/>
    <s v="Suspicious"/>
  </r>
  <r>
    <s v="T0071"/>
    <x v="12"/>
    <x v="0"/>
    <n v="86811"/>
    <x v="1"/>
    <s v="IRCTC"/>
    <s v="Chennai"/>
    <s v="Swipe"/>
    <s v="Thursday"/>
    <x v="0"/>
    <x v="0"/>
    <s v="Suspicious"/>
  </r>
  <r>
    <s v="T0072"/>
    <x v="9"/>
    <x v="54"/>
    <n v="36885"/>
    <x v="3"/>
    <s v="Myntra"/>
    <s v="Pune"/>
    <s v="Swipe"/>
    <s v="Monday"/>
    <x v="0"/>
    <x v="1"/>
    <s v="Normal"/>
  </r>
  <r>
    <s v="T0073"/>
    <x v="19"/>
    <x v="55"/>
    <n v="3917"/>
    <x v="0"/>
    <s v="Croma"/>
    <s v="Delhi"/>
    <s v="Online"/>
    <s v="Monday"/>
    <x v="0"/>
    <x v="1"/>
    <s v="Normal"/>
  </r>
  <r>
    <s v="T0074"/>
    <x v="18"/>
    <x v="2"/>
    <n v="14508"/>
    <x v="2"/>
    <s v="Water Board"/>
    <s v="Delhi"/>
    <s v="Swipe"/>
    <s v="Friday"/>
    <x v="0"/>
    <x v="1"/>
    <s v="Normal"/>
  </r>
  <r>
    <s v="T0075"/>
    <x v="3"/>
    <x v="56"/>
    <n v="15457"/>
    <x v="4"/>
    <s v="Bharat Petroleum"/>
    <s v="Hyderabad"/>
    <s v="Online"/>
    <s v="Wednesday"/>
    <x v="0"/>
    <x v="1"/>
    <s v="Normal"/>
  </r>
  <r>
    <s v="T0076"/>
    <x v="38"/>
    <x v="57"/>
    <n v="57454"/>
    <x v="3"/>
    <s v="Amazon"/>
    <s v="Hyderabad"/>
    <s v="Online"/>
    <s v="Sunday"/>
    <x v="1"/>
    <x v="0"/>
    <s v="Normal"/>
  </r>
  <r>
    <s v="T0077"/>
    <x v="2"/>
    <x v="58"/>
    <n v="87362"/>
    <x v="3"/>
    <s v="Myntra"/>
    <s v="Hyderabad"/>
    <s v="Swipe"/>
    <s v="Tuesday"/>
    <x v="0"/>
    <x v="0"/>
    <s v="Suspicious"/>
  </r>
  <r>
    <s v="T0078"/>
    <x v="0"/>
    <x v="59"/>
    <n v="118270"/>
    <x v="0"/>
    <s v="Reliance Digital"/>
    <s v="Hyderabad"/>
    <s v="Swipe"/>
    <s v="Tuesday"/>
    <x v="0"/>
    <x v="0"/>
    <s v="Suspicious"/>
  </r>
  <r>
    <s v="T0079"/>
    <x v="29"/>
    <x v="60"/>
    <n v="53043"/>
    <x v="0"/>
    <s v="Apple Store"/>
    <s v="Delhi"/>
    <s v="Online"/>
    <s v="Sunday"/>
    <x v="1"/>
    <x v="0"/>
    <s v="Normal"/>
  </r>
  <r>
    <s v="T0080"/>
    <x v="29"/>
    <x v="50"/>
    <n v="49995"/>
    <x v="1"/>
    <s v="MakeMyTrip"/>
    <s v="Pune"/>
    <s v="Online"/>
    <s v="Tuesday"/>
    <x v="0"/>
    <x v="1"/>
    <s v="Normal"/>
  </r>
  <r>
    <s v="T0081"/>
    <x v="23"/>
    <x v="42"/>
    <n v="53525"/>
    <x v="2"/>
    <s v="Electricity Board"/>
    <s v="Delhi"/>
    <s v="Swipe"/>
    <s v="Thursday"/>
    <x v="0"/>
    <x v="0"/>
    <s v="Normal"/>
  </r>
  <r>
    <s v="T0082"/>
    <x v="2"/>
    <x v="52"/>
    <n v="76319"/>
    <x v="1"/>
    <s v="MakeMyTrip"/>
    <s v="Pune"/>
    <s v="Swipe"/>
    <s v="Wednesday"/>
    <x v="0"/>
    <x v="0"/>
    <s v="Suspicious"/>
  </r>
  <r>
    <s v="T0083"/>
    <x v="4"/>
    <x v="44"/>
    <n v="88855"/>
    <x v="4"/>
    <s v="IndianOil"/>
    <s v="Hyderabad"/>
    <s v="Swipe"/>
    <s v="Monday"/>
    <x v="0"/>
    <x v="0"/>
    <s v="Suspicious"/>
  </r>
  <r>
    <s v="T0084"/>
    <x v="36"/>
    <x v="61"/>
    <n v="11414"/>
    <x v="0"/>
    <s v="Reliance Digital"/>
    <s v="Hyderabad"/>
    <s v="Swipe"/>
    <s v="Monday"/>
    <x v="0"/>
    <x v="1"/>
    <s v="Normal"/>
  </r>
  <r>
    <s v="T0085"/>
    <x v="17"/>
    <x v="30"/>
    <n v="88484"/>
    <x v="5"/>
    <s v="Dominos"/>
    <s v="Mumbai"/>
    <s v="Online"/>
    <s v="Wednesday"/>
    <x v="0"/>
    <x v="0"/>
    <s v="Suspicious"/>
  </r>
  <r>
    <s v="T0086"/>
    <x v="22"/>
    <x v="8"/>
    <n v="32392"/>
    <x v="1"/>
    <s v="IndiGo"/>
    <s v="Hyderabad"/>
    <s v="Online"/>
    <s v="Saturday"/>
    <x v="1"/>
    <x v="1"/>
    <s v="Normal"/>
  </r>
  <r>
    <s v="T0087"/>
    <x v="29"/>
    <x v="62"/>
    <n v="82844"/>
    <x v="4"/>
    <s v="IndianOil"/>
    <s v="Pune"/>
    <s v="Swipe"/>
    <s v="Tuesday"/>
    <x v="0"/>
    <x v="0"/>
    <s v="Suspicious"/>
  </r>
  <r>
    <s v="T0088"/>
    <x v="16"/>
    <x v="40"/>
    <n v="19642"/>
    <x v="4"/>
    <s v="IndianOil"/>
    <s v="Bangalore"/>
    <s v="Swipe"/>
    <s v="Thursday"/>
    <x v="0"/>
    <x v="1"/>
    <s v="Normal"/>
  </r>
  <r>
    <s v="T0089"/>
    <x v="39"/>
    <x v="63"/>
    <n v="91514"/>
    <x v="1"/>
    <s v="MakeMyTrip"/>
    <s v="Chennai"/>
    <s v="Online"/>
    <s v="Friday"/>
    <x v="0"/>
    <x v="0"/>
    <s v="Suspicious"/>
  </r>
  <r>
    <s v="T0090"/>
    <x v="28"/>
    <x v="64"/>
    <n v="111493"/>
    <x v="2"/>
    <s v="Electricity Board"/>
    <s v="Chennai"/>
    <s v="Online"/>
    <s v="Saturday"/>
    <x v="1"/>
    <x v="0"/>
    <s v="Suspicious"/>
  </r>
  <r>
    <s v="T0091"/>
    <x v="33"/>
    <x v="65"/>
    <n v="73559"/>
    <x v="4"/>
    <s v="Bharat Petroleum"/>
    <s v="Chennai"/>
    <s v="Swipe"/>
    <s v="Friday"/>
    <x v="0"/>
    <x v="0"/>
    <s v="Normal"/>
  </r>
  <r>
    <s v="T0092"/>
    <x v="4"/>
    <x v="66"/>
    <n v="21161"/>
    <x v="2"/>
    <s v="Water Board"/>
    <s v="Chennai"/>
    <s v="Swipe"/>
    <s v="Wednesday"/>
    <x v="0"/>
    <x v="1"/>
    <s v="Normal"/>
  </r>
  <r>
    <s v="T0093"/>
    <x v="11"/>
    <x v="67"/>
    <n v="100676"/>
    <x v="1"/>
    <s v="MakeMyTrip"/>
    <s v="Chennai"/>
    <s v="Online"/>
    <s v="Monday"/>
    <x v="0"/>
    <x v="0"/>
    <s v="Suspicious"/>
  </r>
  <r>
    <s v="T0094"/>
    <x v="4"/>
    <x v="68"/>
    <n v="93825"/>
    <x v="3"/>
    <s v="Myntra"/>
    <s v="Mumbai"/>
    <s v="Swipe"/>
    <s v="Wednesday"/>
    <x v="0"/>
    <x v="0"/>
    <s v="Suspicious"/>
  </r>
  <r>
    <s v="T0095"/>
    <x v="40"/>
    <x v="66"/>
    <n v="71098"/>
    <x v="3"/>
    <s v="Amazon"/>
    <s v="Mumbai"/>
    <s v="Online"/>
    <s v="Wednesday"/>
    <x v="0"/>
    <x v="0"/>
    <s v="Normal"/>
  </r>
  <r>
    <s v="T0096"/>
    <x v="30"/>
    <x v="69"/>
    <n v="20328"/>
    <x v="1"/>
    <s v="MakeMyTrip"/>
    <s v="Mumbai"/>
    <s v="Online"/>
    <s v="Friday"/>
    <x v="0"/>
    <x v="1"/>
    <s v="Normal"/>
  </r>
  <r>
    <s v="T0097"/>
    <x v="29"/>
    <x v="55"/>
    <n v="71421"/>
    <x v="4"/>
    <s v="Bharat Petroleum"/>
    <s v="Chennai"/>
    <s v="Online"/>
    <s v="Monday"/>
    <x v="0"/>
    <x v="0"/>
    <s v="Normal"/>
  </r>
  <r>
    <s v="T0098"/>
    <x v="29"/>
    <x v="70"/>
    <n v="118898"/>
    <x v="1"/>
    <s v="MakeMyTrip"/>
    <s v="Pune"/>
    <s v="Online"/>
    <s v="Monday"/>
    <x v="0"/>
    <x v="0"/>
    <s v="Suspicious"/>
  </r>
  <r>
    <s v="T0099"/>
    <x v="30"/>
    <x v="71"/>
    <n v="1072"/>
    <x v="2"/>
    <s v="Water Board"/>
    <s v="Delhi"/>
    <s v="Swipe"/>
    <s v="Saturday"/>
    <x v="1"/>
    <x v="1"/>
    <s v="Normal"/>
  </r>
  <r>
    <s v="T0100"/>
    <x v="19"/>
    <x v="45"/>
    <n v="96589"/>
    <x v="4"/>
    <s v="IndianOil"/>
    <s v="Chennai"/>
    <s v="Online"/>
    <s v="Friday"/>
    <x v="0"/>
    <x v="0"/>
    <s v="Suspicious"/>
  </r>
  <r>
    <s v="T0101"/>
    <x v="2"/>
    <x v="37"/>
    <n v="4104"/>
    <x v="3"/>
    <s v="Ajio"/>
    <s v="Delhi"/>
    <s v="Swipe"/>
    <s v="Sunday"/>
    <x v="1"/>
    <x v="1"/>
    <s v="Normal"/>
  </r>
  <r>
    <s v="T0102"/>
    <x v="36"/>
    <x v="72"/>
    <n v="61561"/>
    <x v="0"/>
    <s v="Croma"/>
    <s v="Hyderabad"/>
    <s v="Online"/>
    <s v="Wednesday"/>
    <x v="0"/>
    <x v="0"/>
    <s v="Normal"/>
  </r>
  <r>
    <s v="T0103"/>
    <x v="26"/>
    <x v="43"/>
    <n v="87200"/>
    <x v="4"/>
    <s v="IndianOil"/>
    <s v="Bangalore"/>
    <s v="Swipe"/>
    <s v="Wednesday"/>
    <x v="0"/>
    <x v="0"/>
    <s v="Suspicious"/>
  </r>
  <r>
    <s v="T0104"/>
    <x v="27"/>
    <x v="73"/>
    <n v="6890"/>
    <x v="1"/>
    <s v="IndiGo"/>
    <s v="Chennai"/>
    <s v="Swipe"/>
    <s v="Wednesday"/>
    <x v="0"/>
    <x v="1"/>
    <s v="Normal"/>
  </r>
  <r>
    <s v="T0105"/>
    <x v="27"/>
    <x v="60"/>
    <n v="44536"/>
    <x v="1"/>
    <s v="IndiGo"/>
    <s v="Delhi"/>
    <s v="Swipe"/>
    <s v="Sunday"/>
    <x v="1"/>
    <x v="1"/>
    <s v="Normal"/>
  </r>
  <r>
    <s v="T0106"/>
    <x v="41"/>
    <x v="74"/>
    <n v="2840"/>
    <x v="3"/>
    <s v="Amazon"/>
    <s v="Delhi"/>
    <s v="Online"/>
    <s v="Friday"/>
    <x v="0"/>
    <x v="1"/>
    <s v="Normal"/>
  </r>
  <r>
    <s v="T0107"/>
    <x v="9"/>
    <x v="75"/>
    <n v="85726"/>
    <x v="0"/>
    <s v="Croma"/>
    <s v="Bangalore"/>
    <s v="Online"/>
    <s v="Tuesday"/>
    <x v="0"/>
    <x v="0"/>
    <s v="Suspicious"/>
  </r>
  <r>
    <s v="T0108"/>
    <x v="22"/>
    <x v="76"/>
    <n v="20273"/>
    <x v="1"/>
    <s v="IRCTC"/>
    <s v="Mumbai"/>
    <s v="Swipe"/>
    <s v="Wednesday"/>
    <x v="0"/>
    <x v="1"/>
    <s v="Normal"/>
  </r>
  <r>
    <s v="T0109"/>
    <x v="0"/>
    <x v="43"/>
    <n v="28869"/>
    <x v="0"/>
    <s v="Reliance Digital"/>
    <s v="Pune"/>
    <s v="Swipe"/>
    <s v="Wednesday"/>
    <x v="0"/>
    <x v="1"/>
    <s v="Normal"/>
  </r>
  <r>
    <s v="T0110"/>
    <x v="36"/>
    <x v="22"/>
    <n v="79893"/>
    <x v="3"/>
    <s v="Amazon"/>
    <s v="Mumbai"/>
    <s v="Swipe"/>
    <s v="Monday"/>
    <x v="0"/>
    <x v="0"/>
    <s v="Suspicious"/>
  </r>
  <r>
    <s v="T0111"/>
    <x v="26"/>
    <x v="0"/>
    <n v="41188"/>
    <x v="5"/>
    <s v="KFC"/>
    <s v="Chennai"/>
    <s v="Online"/>
    <s v="Thursday"/>
    <x v="0"/>
    <x v="1"/>
    <s v="Normal"/>
  </r>
  <r>
    <s v="T0112"/>
    <x v="26"/>
    <x v="69"/>
    <n v="109164"/>
    <x v="5"/>
    <s v="Zomato"/>
    <s v="Bangalore"/>
    <s v="Swipe"/>
    <s v="Friday"/>
    <x v="0"/>
    <x v="0"/>
    <s v="Suspicious"/>
  </r>
  <r>
    <s v="T0113"/>
    <x v="3"/>
    <x v="77"/>
    <n v="16166"/>
    <x v="0"/>
    <s v="Apple Store"/>
    <s v="Bangalore"/>
    <s v="Swipe"/>
    <s v="Saturday"/>
    <x v="1"/>
    <x v="1"/>
    <s v="Normal"/>
  </r>
  <r>
    <s v="T0114"/>
    <x v="2"/>
    <x v="61"/>
    <n v="48871"/>
    <x v="2"/>
    <s v="Electricity Board"/>
    <s v="Hyderabad"/>
    <s v="Swipe"/>
    <s v="Monday"/>
    <x v="0"/>
    <x v="1"/>
    <s v="Normal"/>
  </r>
  <r>
    <s v="T0115"/>
    <x v="29"/>
    <x v="12"/>
    <n v="64551"/>
    <x v="5"/>
    <s v="Swiggy"/>
    <s v="Chennai"/>
    <s v="Swipe"/>
    <s v="Monday"/>
    <x v="0"/>
    <x v="0"/>
    <s v="Normal"/>
  </r>
  <r>
    <s v="T0116"/>
    <x v="27"/>
    <x v="57"/>
    <n v="20352"/>
    <x v="0"/>
    <s v="Reliance Digital"/>
    <s v="Mumbai"/>
    <s v="Swipe"/>
    <s v="Sunday"/>
    <x v="1"/>
    <x v="1"/>
    <s v="Normal"/>
  </r>
  <r>
    <s v="T0117"/>
    <x v="19"/>
    <x v="75"/>
    <n v="63672"/>
    <x v="2"/>
    <s v="Water Board"/>
    <s v="Chennai"/>
    <s v="Swipe"/>
    <s v="Tuesday"/>
    <x v="0"/>
    <x v="0"/>
    <s v="Normal"/>
  </r>
  <r>
    <s v="T0118"/>
    <x v="28"/>
    <x v="7"/>
    <n v="11659"/>
    <x v="3"/>
    <s v="Myntra"/>
    <s v="Chennai"/>
    <s v="Online"/>
    <s v="Tuesday"/>
    <x v="0"/>
    <x v="1"/>
    <s v="Normal"/>
  </r>
  <r>
    <s v="T0119"/>
    <x v="23"/>
    <x v="78"/>
    <n v="87880"/>
    <x v="4"/>
    <s v="Bharat Petroleum"/>
    <s v="Delhi"/>
    <s v="Online"/>
    <s v="Tuesday"/>
    <x v="0"/>
    <x v="0"/>
    <s v="Suspicious"/>
  </r>
  <r>
    <s v="T0120"/>
    <x v="40"/>
    <x v="73"/>
    <n v="64204"/>
    <x v="4"/>
    <s v="IndianOil"/>
    <s v="Delhi"/>
    <s v="Swipe"/>
    <s v="Wednesday"/>
    <x v="0"/>
    <x v="0"/>
    <s v="Normal"/>
  </r>
  <r>
    <s v="T0121"/>
    <x v="5"/>
    <x v="79"/>
    <n v="78439"/>
    <x v="3"/>
    <s v="Myntra"/>
    <s v="Hyderabad"/>
    <s v="Online"/>
    <s v="Monday"/>
    <x v="0"/>
    <x v="0"/>
    <s v="Suspicious"/>
  </r>
  <r>
    <s v="T0122"/>
    <x v="42"/>
    <x v="24"/>
    <n v="31935"/>
    <x v="2"/>
    <s v="Water Board"/>
    <s v="Chennai"/>
    <s v="Online"/>
    <s v="Thursday"/>
    <x v="0"/>
    <x v="1"/>
    <s v="Normal"/>
  </r>
  <r>
    <s v="T0123"/>
    <x v="43"/>
    <x v="80"/>
    <n v="93602"/>
    <x v="0"/>
    <s v="Reliance Digital"/>
    <s v="Chennai"/>
    <s v="Online"/>
    <s v="Saturday"/>
    <x v="1"/>
    <x v="0"/>
    <s v="Suspicious"/>
  </r>
  <r>
    <s v="T0124"/>
    <x v="8"/>
    <x v="81"/>
    <n v="53305"/>
    <x v="5"/>
    <s v="Zomato"/>
    <s v="Delhi"/>
    <s v="Swipe"/>
    <s v="Monday"/>
    <x v="0"/>
    <x v="0"/>
    <s v="Normal"/>
  </r>
  <r>
    <s v="T0125"/>
    <x v="15"/>
    <x v="65"/>
    <n v="45356"/>
    <x v="4"/>
    <s v="Bharat Petroleum"/>
    <s v="Pune"/>
    <s v="Swipe"/>
    <s v="Friday"/>
    <x v="0"/>
    <x v="1"/>
    <s v="Normal"/>
  </r>
  <r>
    <s v="T0126"/>
    <x v="31"/>
    <x v="6"/>
    <n v="35809"/>
    <x v="3"/>
    <s v="Myntra"/>
    <s v="Delhi"/>
    <s v="Online"/>
    <s v="Wednesday"/>
    <x v="0"/>
    <x v="1"/>
    <s v="Normal"/>
  </r>
  <r>
    <s v="T0127"/>
    <x v="7"/>
    <x v="82"/>
    <n v="41659"/>
    <x v="5"/>
    <s v="Swiggy"/>
    <s v="Pune"/>
    <s v="Online"/>
    <s v="Thursday"/>
    <x v="0"/>
    <x v="1"/>
    <s v="Normal"/>
  </r>
  <r>
    <s v="T0128"/>
    <x v="13"/>
    <x v="51"/>
    <n v="63764"/>
    <x v="1"/>
    <s v="IndiGo"/>
    <s v="Pune"/>
    <s v="Swipe"/>
    <s v="Thursday"/>
    <x v="0"/>
    <x v="0"/>
    <s v="Normal"/>
  </r>
  <r>
    <s v="T0129"/>
    <x v="42"/>
    <x v="83"/>
    <n v="30116"/>
    <x v="5"/>
    <s v="Dominos"/>
    <s v="Mumbai"/>
    <s v="Swipe"/>
    <s v="Wednesday"/>
    <x v="0"/>
    <x v="1"/>
    <s v="Normal"/>
  </r>
  <r>
    <s v="T0130"/>
    <x v="34"/>
    <x v="14"/>
    <n v="16891"/>
    <x v="5"/>
    <s v="Dominos"/>
    <s v="Bangalore"/>
    <s v="Online"/>
    <s v="Saturday"/>
    <x v="1"/>
    <x v="1"/>
    <s v="Normal"/>
  </r>
  <r>
    <s v="T0131"/>
    <x v="8"/>
    <x v="84"/>
    <n v="16851"/>
    <x v="2"/>
    <s v="Water Board"/>
    <s v="Bangalore"/>
    <s v="Online"/>
    <s v="Saturday"/>
    <x v="1"/>
    <x v="1"/>
    <s v="Normal"/>
  </r>
  <r>
    <s v="T0132"/>
    <x v="8"/>
    <x v="74"/>
    <n v="63046"/>
    <x v="2"/>
    <s v="Water Board"/>
    <s v="Delhi"/>
    <s v="Online"/>
    <s v="Friday"/>
    <x v="0"/>
    <x v="0"/>
    <s v="Normal"/>
  </r>
  <r>
    <s v="T0133"/>
    <x v="18"/>
    <x v="48"/>
    <n v="113247"/>
    <x v="5"/>
    <s v="KFC"/>
    <s v="Bangalore"/>
    <s v="Online"/>
    <s v="Tuesday"/>
    <x v="0"/>
    <x v="0"/>
    <s v="Suspicious"/>
  </r>
  <r>
    <s v="T0134"/>
    <x v="37"/>
    <x v="68"/>
    <n v="75931"/>
    <x v="4"/>
    <s v="IndianOil"/>
    <s v="Mumbai"/>
    <s v="Online"/>
    <s v="Wednesday"/>
    <x v="0"/>
    <x v="0"/>
    <s v="Suspicious"/>
  </r>
  <r>
    <s v="T0135"/>
    <x v="25"/>
    <x v="24"/>
    <n v="32830"/>
    <x v="2"/>
    <s v="Electricity Board"/>
    <s v="Hyderabad"/>
    <s v="Swipe"/>
    <s v="Thursday"/>
    <x v="0"/>
    <x v="1"/>
    <s v="Normal"/>
  </r>
  <r>
    <s v="T0136"/>
    <x v="3"/>
    <x v="85"/>
    <n v="81357"/>
    <x v="2"/>
    <s v="Electricity Board"/>
    <s v="Hyderabad"/>
    <s v="Swipe"/>
    <s v="Thursday"/>
    <x v="0"/>
    <x v="0"/>
    <s v="Suspicious"/>
  </r>
  <r>
    <s v="T0137"/>
    <x v="4"/>
    <x v="42"/>
    <n v="113043"/>
    <x v="4"/>
    <s v="Bharat Petroleum"/>
    <s v="Delhi"/>
    <s v="Online"/>
    <s v="Thursday"/>
    <x v="0"/>
    <x v="0"/>
    <s v="Suspicious"/>
  </r>
  <r>
    <s v="T0138"/>
    <x v="1"/>
    <x v="32"/>
    <n v="100273"/>
    <x v="2"/>
    <s v="Electricity Board"/>
    <s v="Pune"/>
    <s v="Online"/>
    <s v="Saturday"/>
    <x v="1"/>
    <x v="0"/>
    <s v="Suspicious"/>
  </r>
  <r>
    <s v="T0139"/>
    <x v="33"/>
    <x v="24"/>
    <n v="20885"/>
    <x v="3"/>
    <s v="Flipkart"/>
    <s v="Mumbai"/>
    <s v="Online"/>
    <s v="Thursday"/>
    <x v="0"/>
    <x v="1"/>
    <s v="Normal"/>
  </r>
  <r>
    <s v="T0140"/>
    <x v="44"/>
    <x v="86"/>
    <n v="59348"/>
    <x v="1"/>
    <s v="MakeMyTrip"/>
    <s v="Hyderabad"/>
    <s v="Swipe"/>
    <s v="Thursday"/>
    <x v="0"/>
    <x v="0"/>
    <s v="Normal"/>
  </r>
  <r>
    <s v="T0141"/>
    <x v="38"/>
    <x v="87"/>
    <n v="38062"/>
    <x v="3"/>
    <s v="Myntra"/>
    <s v="Pune"/>
    <s v="Swipe"/>
    <s v="Tuesday"/>
    <x v="0"/>
    <x v="1"/>
    <s v="Normal"/>
  </r>
  <r>
    <s v="T0142"/>
    <x v="45"/>
    <x v="87"/>
    <n v="34975"/>
    <x v="5"/>
    <s v="Zomato"/>
    <s v="Chennai"/>
    <s v="Online"/>
    <s v="Tuesday"/>
    <x v="0"/>
    <x v="1"/>
    <s v="Normal"/>
  </r>
  <r>
    <s v="T0143"/>
    <x v="12"/>
    <x v="80"/>
    <n v="19828"/>
    <x v="2"/>
    <s v="Water Board"/>
    <s v="Mumbai"/>
    <s v="Online"/>
    <s v="Saturday"/>
    <x v="1"/>
    <x v="1"/>
    <s v="Normal"/>
  </r>
  <r>
    <s v="T0144"/>
    <x v="36"/>
    <x v="85"/>
    <n v="40619"/>
    <x v="5"/>
    <s v="Dominos"/>
    <s v="Chennai"/>
    <s v="Online"/>
    <s v="Thursday"/>
    <x v="0"/>
    <x v="1"/>
    <s v="Normal"/>
  </r>
  <r>
    <s v="T0145"/>
    <x v="31"/>
    <x v="42"/>
    <n v="92015"/>
    <x v="4"/>
    <s v="Bharat Petroleum"/>
    <s v="Delhi"/>
    <s v="Swipe"/>
    <s v="Thursday"/>
    <x v="0"/>
    <x v="0"/>
    <s v="Suspicious"/>
  </r>
  <r>
    <s v="T0146"/>
    <x v="41"/>
    <x v="17"/>
    <n v="5524"/>
    <x v="4"/>
    <s v="Bharat Petroleum"/>
    <s v="Pune"/>
    <s v="Swipe"/>
    <s v="Sunday"/>
    <x v="1"/>
    <x v="1"/>
    <s v="Normal"/>
  </r>
  <r>
    <s v="T0147"/>
    <x v="18"/>
    <x v="0"/>
    <n v="12270"/>
    <x v="2"/>
    <s v="Electricity Board"/>
    <s v="Pune"/>
    <s v="Online"/>
    <s v="Thursday"/>
    <x v="0"/>
    <x v="1"/>
    <s v="Normal"/>
  </r>
  <r>
    <s v="T0148"/>
    <x v="5"/>
    <x v="31"/>
    <n v="5573"/>
    <x v="0"/>
    <s v="Croma"/>
    <s v="Chennai"/>
    <s v="Swipe"/>
    <s v="Thursday"/>
    <x v="0"/>
    <x v="1"/>
    <s v="Normal"/>
  </r>
  <r>
    <s v="T0149"/>
    <x v="39"/>
    <x v="39"/>
    <n v="57432"/>
    <x v="3"/>
    <s v="Ajio"/>
    <s v="Bangalore"/>
    <s v="Swipe"/>
    <s v="Friday"/>
    <x v="0"/>
    <x v="0"/>
    <s v="Normal"/>
  </r>
  <r>
    <s v="T0150"/>
    <x v="29"/>
    <x v="55"/>
    <n v="42381"/>
    <x v="3"/>
    <s v="Amazon"/>
    <s v="Mumbai"/>
    <s v="Swipe"/>
    <s v="Monday"/>
    <x v="0"/>
    <x v="1"/>
    <s v="Normal"/>
  </r>
  <r>
    <s v="T0151"/>
    <x v="31"/>
    <x v="88"/>
    <n v="38077"/>
    <x v="4"/>
    <s v="Bharat Petroleum"/>
    <s v="Hyderabad"/>
    <s v="Online"/>
    <s v="Monday"/>
    <x v="0"/>
    <x v="1"/>
    <s v="Normal"/>
  </r>
  <r>
    <s v="T0152"/>
    <x v="41"/>
    <x v="41"/>
    <n v="33382"/>
    <x v="4"/>
    <s v="Bharat Petroleum"/>
    <s v="Bangalore"/>
    <s v="Swipe"/>
    <s v="Saturday"/>
    <x v="1"/>
    <x v="1"/>
    <s v="Normal"/>
  </r>
  <r>
    <s v="T0153"/>
    <x v="44"/>
    <x v="61"/>
    <n v="114249"/>
    <x v="2"/>
    <s v="Water Board"/>
    <s v="Chennai"/>
    <s v="Online"/>
    <s v="Monday"/>
    <x v="0"/>
    <x v="0"/>
    <s v="Suspicious"/>
  </r>
  <r>
    <s v="T0154"/>
    <x v="24"/>
    <x v="15"/>
    <n v="81909"/>
    <x v="1"/>
    <s v="IndiGo"/>
    <s v="Pune"/>
    <s v="Swipe"/>
    <s v="Friday"/>
    <x v="0"/>
    <x v="0"/>
    <s v="Suspicious"/>
  </r>
  <r>
    <s v="T0155"/>
    <x v="13"/>
    <x v="89"/>
    <n v="72287"/>
    <x v="5"/>
    <s v="Zomato"/>
    <s v="Delhi"/>
    <s v="Swipe"/>
    <s v="Sunday"/>
    <x v="1"/>
    <x v="0"/>
    <s v="Normal"/>
  </r>
  <r>
    <s v="T0156"/>
    <x v="37"/>
    <x v="28"/>
    <n v="4083"/>
    <x v="0"/>
    <s v="Apple Store"/>
    <s v="Hyderabad"/>
    <s v="Online"/>
    <s v="Tuesday"/>
    <x v="0"/>
    <x v="1"/>
    <s v="Normal"/>
  </r>
  <r>
    <s v="T0157"/>
    <x v="36"/>
    <x v="90"/>
    <n v="72499"/>
    <x v="0"/>
    <s v="Croma"/>
    <s v="Hyderabad"/>
    <s v="Swipe"/>
    <s v="Friday"/>
    <x v="0"/>
    <x v="0"/>
    <s v="Normal"/>
  </r>
  <r>
    <s v="T0158"/>
    <x v="12"/>
    <x v="72"/>
    <n v="119959"/>
    <x v="5"/>
    <s v="Swiggy"/>
    <s v="Chennai"/>
    <s v="Online"/>
    <s v="Wednesday"/>
    <x v="0"/>
    <x v="0"/>
    <s v="Suspicious"/>
  </r>
  <r>
    <s v="T0159"/>
    <x v="46"/>
    <x v="88"/>
    <n v="94226"/>
    <x v="0"/>
    <s v="Reliance Digital"/>
    <s v="Hyderabad"/>
    <s v="Swipe"/>
    <s v="Monday"/>
    <x v="0"/>
    <x v="0"/>
    <s v="Suspicious"/>
  </r>
  <r>
    <s v="T0160"/>
    <x v="43"/>
    <x v="74"/>
    <n v="32246"/>
    <x v="4"/>
    <s v="Bharat Petroleum"/>
    <s v="Hyderabad"/>
    <s v="Online"/>
    <s v="Friday"/>
    <x v="0"/>
    <x v="1"/>
    <s v="Normal"/>
  </r>
  <r>
    <s v="T0161"/>
    <x v="42"/>
    <x v="64"/>
    <n v="78861"/>
    <x v="4"/>
    <s v="IndianOil"/>
    <s v="Bangalore"/>
    <s v="Swipe"/>
    <s v="Saturday"/>
    <x v="1"/>
    <x v="0"/>
    <s v="Suspicious"/>
  </r>
  <r>
    <s v="T0162"/>
    <x v="47"/>
    <x v="91"/>
    <n v="103547"/>
    <x v="4"/>
    <s v="Bharat Petroleum"/>
    <s v="Bangalore"/>
    <s v="Swipe"/>
    <s v="Monday"/>
    <x v="0"/>
    <x v="0"/>
    <s v="Suspicious"/>
  </r>
  <r>
    <s v="T0163"/>
    <x v="25"/>
    <x v="72"/>
    <n v="77231"/>
    <x v="0"/>
    <s v="Apple Store"/>
    <s v="Pune"/>
    <s v="Swipe"/>
    <s v="Wednesday"/>
    <x v="0"/>
    <x v="0"/>
    <s v="Suspicious"/>
  </r>
  <r>
    <s v="T0164"/>
    <x v="4"/>
    <x v="14"/>
    <n v="63783"/>
    <x v="1"/>
    <s v="IndiGo"/>
    <s v="Delhi"/>
    <s v="Swipe"/>
    <s v="Saturday"/>
    <x v="1"/>
    <x v="0"/>
    <s v="Normal"/>
  </r>
  <r>
    <s v="T0165"/>
    <x v="40"/>
    <x v="26"/>
    <n v="25027"/>
    <x v="4"/>
    <s v="IndianOil"/>
    <s v="Hyderabad"/>
    <s v="Swipe"/>
    <s v="Sunday"/>
    <x v="1"/>
    <x v="1"/>
    <s v="Normal"/>
  </r>
  <r>
    <s v="T0166"/>
    <x v="21"/>
    <x v="86"/>
    <n v="6020"/>
    <x v="1"/>
    <s v="IndiGo"/>
    <s v="Pune"/>
    <s v="Swipe"/>
    <s v="Thursday"/>
    <x v="0"/>
    <x v="1"/>
    <s v="Normal"/>
  </r>
  <r>
    <s v="T0167"/>
    <x v="30"/>
    <x v="70"/>
    <n v="87291"/>
    <x v="0"/>
    <s v="Apple Store"/>
    <s v="Mumbai"/>
    <s v="Swipe"/>
    <s v="Monday"/>
    <x v="0"/>
    <x v="0"/>
    <s v="Suspicious"/>
  </r>
  <r>
    <s v="T0168"/>
    <x v="48"/>
    <x v="92"/>
    <n v="77656"/>
    <x v="5"/>
    <s v="Dominos"/>
    <s v="Bangalore"/>
    <s v="Swipe"/>
    <s v="Tuesday"/>
    <x v="0"/>
    <x v="0"/>
    <s v="Suspicious"/>
  </r>
  <r>
    <s v="T0169"/>
    <x v="24"/>
    <x v="13"/>
    <n v="60190"/>
    <x v="5"/>
    <s v="Swiggy"/>
    <s v="Pune"/>
    <s v="Online"/>
    <s v="Friday"/>
    <x v="0"/>
    <x v="0"/>
    <s v="Normal"/>
  </r>
  <r>
    <s v="T0170"/>
    <x v="14"/>
    <x v="4"/>
    <n v="10107"/>
    <x v="4"/>
    <s v="Bharat Petroleum"/>
    <s v="Delhi"/>
    <s v="Swipe"/>
    <s v="Saturday"/>
    <x v="1"/>
    <x v="1"/>
    <s v="Normal"/>
  </r>
  <r>
    <s v="T0171"/>
    <x v="31"/>
    <x v="93"/>
    <n v="85475"/>
    <x v="2"/>
    <s v="Electricity Board"/>
    <s v="Delhi"/>
    <s v="Swipe"/>
    <s v="Tuesday"/>
    <x v="0"/>
    <x v="0"/>
    <s v="Suspicious"/>
  </r>
  <r>
    <s v="T0172"/>
    <x v="11"/>
    <x v="46"/>
    <n v="116618"/>
    <x v="3"/>
    <s v="Ajio"/>
    <s v="Hyderabad"/>
    <s v="Online"/>
    <s v="Monday"/>
    <x v="0"/>
    <x v="0"/>
    <s v="Suspicious"/>
  </r>
  <r>
    <s v="T0173"/>
    <x v="9"/>
    <x v="30"/>
    <n v="83027"/>
    <x v="2"/>
    <s v="Water Board"/>
    <s v="Mumbai"/>
    <s v="Online"/>
    <s v="Wednesday"/>
    <x v="0"/>
    <x v="0"/>
    <s v="Suspicious"/>
  </r>
  <r>
    <s v="T0174"/>
    <x v="6"/>
    <x v="94"/>
    <n v="83366"/>
    <x v="4"/>
    <s v="IndianOil"/>
    <s v="Chennai"/>
    <s v="Online"/>
    <s v="Sunday"/>
    <x v="1"/>
    <x v="0"/>
    <s v="Suspicious"/>
  </r>
  <r>
    <s v="T0175"/>
    <x v="25"/>
    <x v="49"/>
    <n v="4094"/>
    <x v="0"/>
    <s v="Croma"/>
    <s v="Delhi"/>
    <s v="Online"/>
    <s v="Thursday"/>
    <x v="0"/>
    <x v="1"/>
    <s v="Normal"/>
  </r>
  <r>
    <s v="T0176"/>
    <x v="49"/>
    <x v="95"/>
    <n v="56750"/>
    <x v="3"/>
    <s v="Flipkart"/>
    <s v="Mumbai"/>
    <s v="Swipe"/>
    <s v="Saturday"/>
    <x v="1"/>
    <x v="0"/>
    <s v="Normal"/>
  </r>
  <r>
    <s v="T0177"/>
    <x v="45"/>
    <x v="85"/>
    <n v="23900"/>
    <x v="2"/>
    <s v="Electricity Board"/>
    <s v="Mumbai"/>
    <s v="Online"/>
    <s v="Thursday"/>
    <x v="0"/>
    <x v="1"/>
    <s v="Normal"/>
  </r>
  <r>
    <s v="T0178"/>
    <x v="30"/>
    <x v="76"/>
    <n v="89839"/>
    <x v="2"/>
    <s v="Electricity Board"/>
    <s v="Chennai"/>
    <s v="Online"/>
    <s v="Wednesday"/>
    <x v="0"/>
    <x v="0"/>
    <s v="Suspicious"/>
  </r>
  <r>
    <s v="T0179"/>
    <x v="27"/>
    <x v="96"/>
    <n v="33589"/>
    <x v="1"/>
    <s v="IndiGo"/>
    <s v="Delhi"/>
    <s v="Online"/>
    <s v="Friday"/>
    <x v="0"/>
    <x v="1"/>
    <s v="Normal"/>
  </r>
  <r>
    <s v="T0180"/>
    <x v="8"/>
    <x v="97"/>
    <n v="71943"/>
    <x v="4"/>
    <s v="IndianOil"/>
    <s v="Bangalore"/>
    <s v="Swipe"/>
    <s v="Wednesday"/>
    <x v="0"/>
    <x v="0"/>
    <s v="Normal"/>
  </r>
  <r>
    <s v="T0181"/>
    <x v="26"/>
    <x v="42"/>
    <n v="84046"/>
    <x v="3"/>
    <s v="Ajio"/>
    <s v="Pune"/>
    <s v="Swipe"/>
    <s v="Thursday"/>
    <x v="0"/>
    <x v="0"/>
    <s v="Suspicious"/>
  </r>
  <r>
    <s v="T0182"/>
    <x v="25"/>
    <x v="53"/>
    <n v="50722"/>
    <x v="4"/>
    <s v="Bharat Petroleum"/>
    <s v="Bangalore"/>
    <s v="Online"/>
    <s v="Friday"/>
    <x v="0"/>
    <x v="0"/>
    <s v="Normal"/>
  </r>
  <r>
    <s v="T0183"/>
    <x v="23"/>
    <x v="5"/>
    <n v="75641"/>
    <x v="4"/>
    <s v="Bharat Petroleum"/>
    <s v="Pune"/>
    <s v="Swipe"/>
    <s v="Thursday"/>
    <x v="0"/>
    <x v="0"/>
    <s v="Suspicious"/>
  </r>
  <r>
    <s v="T0184"/>
    <x v="33"/>
    <x v="93"/>
    <n v="36276"/>
    <x v="5"/>
    <s v="Swiggy"/>
    <s v="Hyderabad"/>
    <s v="Online"/>
    <s v="Tuesday"/>
    <x v="0"/>
    <x v="1"/>
    <s v="Normal"/>
  </r>
  <r>
    <s v="T0185"/>
    <x v="1"/>
    <x v="88"/>
    <n v="109461"/>
    <x v="2"/>
    <s v="Water Board"/>
    <s v="Mumbai"/>
    <s v="Swipe"/>
    <s v="Monday"/>
    <x v="0"/>
    <x v="0"/>
    <s v="Suspicious"/>
  </r>
  <r>
    <s v="T0186"/>
    <x v="11"/>
    <x v="82"/>
    <n v="81681"/>
    <x v="1"/>
    <s v="IndiGo"/>
    <s v="Pune"/>
    <s v="Online"/>
    <s v="Thursday"/>
    <x v="0"/>
    <x v="0"/>
    <s v="Suspicious"/>
  </r>
  <r>
    <s v="T0187"/>
    <x v="6"/>
    <x v="49"/>
    <n v="82542"/>
    <x v="0"/>
    <s v="Apple Store"/>
    <s v="Bangalore"/>
    <s v="Swipe"/>
    <s v="Thursday"/>
    <x v="0"/>
    <x v="0"/>
    <s v="Suspicious"/>
  </r>
  <r>
    <s v="T0188"/>
    <x v="38"/>
    <x v="39"/>
    <n v="48123"/>
    <x v="4"/>
    <s v="IndianOil"/>
    <s v="Bangalore"/>
    <s v="Swipe"/>
    <s v="Friday"/>
    <x v="0"/>
    <x v="1"/>
    <s v="Normal"/>
  </r>
  <r>
    <s v="T0189"/>
    <x v="1"/>
    <x v="98"/>
    <n v="23321"/>
    <x v="3"/>
    <s v="Flipkart"/>
    <s v="Mumbai"/>
    <s v="Swipe"/>
    <s v="Friday"/>
    <x v="0"/>
    <x v="1"/>
    <s v="Normal"/>
  </r>
  <r>
    <s v="T0190"/>
    <x v="20"/>
    <x v="13"/>
    <n v="36020"/>
    <x v="2"/>
    <s v="Electricity Board"/>
    <s v="Delhi"/>
    <s v="Swipe"/>
    <s v="Friday"/>
    <x v="0"/>
    <x v="1"/>
    <s v="Normal"/>
  </r>
  <r>
    <s v="T0191"/>
    <x v="1"/>
    <x v="26"/>
    <n v="44696"/>
    <x v="3"/>
    <s v="Amazon"/>
    <s v="Chennai"/>
    <s v="Online"/>
    <s v="Sunday"/>
    <x v="1"/>
    <x v="1"/>
    <s v="Normal"/>
  </r>
  <r>
    <s v="T0192"/>
    <x v="17"/>
    <x v="81"/>
    <n v="113040"/>
    <x v="1"/>
    <s v="MakeMyTrip"/>
    <s v="Pune"/>
    <s v="Swipe"/>
    <s v="Monday"/>
    <x v="0"/>
    <x v="0"/>
    <s v="Suspicious"/>
  </r>
  <r>
    <s v="T0193"/>
    <x v="10"/>
    <x v="99"/>
    <n v="103936"/>
    <x v="2"/>
    <s v="Water Board"/>
    <s v="Bangalore"/>
    <s v="Swipe"/>
    <s v="Friday"/>
    <x v="0"/>
    <x v="0"/>
    <s v="Suspicious"/>
  </r>
  <r>
    <s v="T0194"/>
    <x v="0"/>
    <x v="6"/>
    <n v="48611"/>
    <x v="2"/>
    <s v="Water Board"/>
    <s v="Hyderabad"/>
    <s v="Swipe"/>
    <s v="Wednesday"/>
    <x v="0"/>
    <x v="1"/>
    <s v="Normal"/>
  </r>
  <r>
    <s v="T0195"/>
    <x v="10"/>
    <x v="1"/>
    <n v="88752"/>
    <x v="0"/>
    <s v="Croma"/>
    <s v="Chennai"/>
    <s v="Online"/>
    <s v="Sunday"/>
    <x v="1"/>
    <x v="0"/>
    <s v="Suspicious"/>
  </r>
  <r>
    <s v="T0196"/>
    <x v="15"/>
    <x v="60"/>
    <n v="80264"/>
    <x v="2"/>
    <s v="Electricity Board"/>
    <s v="Pune"/>
    <s v="Online"/>
    <s v="Sunday"/>
    <x v="1"/>
    <x v="0"/>
    <s v="Suspicious"/>
  </r>
  <r>
    <s v="T0197"/>
    <x v="27"/>
    <x v="13"/>
    <n v="92191"/>
    <x v="0"/>
    <s v="Reliance Digital"/>
    <s v="Pune"/>
    <s v="Swipe"/>
    <s v="Friday"/>
    <x v="0"/>
    <x v="0"/>
    <s v="Suspicious"/>
  </r>
  <r>
    <s v="T0198"/>
    <x v="48"/>
    <x v="8"/>
    <n v="5177"/>
    <x v="5"/>
    <s v="Dominos"/>
    <s v="Chennai"/>
    <s v="Online"/>
    <s v="Saturday"/>
    <x v="1"/>
    <x v="1"/>
    <s v="Normal"/>
  </r>
  <r>
    <s v="T0199"/>
    <x v="28"/>
    <x v="62"/>
    <n v="70757"/>
    <x v="5"/>
    <s v="Zomato"/>
    <s v="Chennai"/>
    <s v="Swipe"/>
    <s v="Tuesday"/>
    <x v="0"/>
    <x v="0"/>
    <s v="Normal"/>
  </r>
  <r>
    <s v="T0200"/>
    <x v="33"/>
    <x v="45"/>
    <n v="91589"/>
    <x v="3"/>
    <s v="Ajio"/>
    <s v="Hyderabad"/>
    <s v="Online"/>
    <s v="Friday"/>
    <x v="0"/>
    <x v="0"/>
    <s v="Suspicious"/>
  </r>
  <r>
    <s v="T0201"/>
    <x v="14"/>
    <x v="32"/>
    <n v="109573"/>
    <x v="4"/>
    <s v="Bharat Petroleum"/>
    <s v="Hyderabad"/>
    <s v="Swipe"/>
    <s v="Saturday"/>
    <x v="1"/>
    <x v="0"/>
    <s v="Suspicious"/>
  </r>
  <r>
    <s v="T0202"/>
    <x v="38"/>
    <x v="69"/>
    <n v="48866"/>
    <x v="3"/>
    <s v="Flipkart"/>
    <s v="Chennai"/>
    <s v="Swipe"/>
    <s v="Friday"/>
    <x v="0"/>
    <x v="1"/>
    <s v="Normal"/>
  </r>
  <r>
    <s v="T0203"/>
    <x v="10"/>
    <x v="32"/>
    <n v="90173"/>
    <x v="1"/>
    <s v="IndiGo"/>
    <s v="Hyderabad"/>
    <s v="Swipe"/>
    <s v="Saturday"/>
    <x v="1"/>
    <x v="0"/>
    <s v="Suspicious"/>
  </r>
  <r>
    <s v="T0204"/>
    <x v="16"/>
    <x v="67"/>
    <n v="25178"/>
    <x v="5"/>
    <s v="Swiggy"/>
    <s v="Chennai"/>
    <s v="Online"/>
    <s v="Monday"/>
    <x v="0"/>
    <x v="1"/>
    <s v="Normal"/>
  </r>
  <r>
    <s v="T0205"/>
    <x v="13"/>
    <x v="80"/>
    <n v="84119"/>
    <x v="0"/>
    <s v="Apple Store"/>
    <s v="Bangalore"/>
    <s v="Online"/>
    <s v="Saturday"/>
    <x v="1"/>
    <x v="0"/>
    <s v="Suspicious"/>
  </r>
  <r>
    <s v="T0206"/>
    <x v="28"/>
    <x v="25"/>
    <n v="103450"/>
    <x v="3"/>
    <s v="Flipkart"/>
    <s v="Bangalore"/>
    <s v="Online"/>
    <s v="Wednesday"/>
    <x v="0"/>
    <x v="0"/>
    <s v="Suspicious"/>
  </r>
  <r>
    <s v="T0207"/>
    <x v="13"/>
    <x v="100"/>
    <n v="114292"/>
    <x v="2"/>
    <s v="Electricity Board"/>
    <s v="Delhi"/>
    <s v="Online"/>
    <s v="Sunday"/>
    <x v="1"/>
    <x v="0"/>
    <s v="Suspicious"/>
  </r>
  <r>
    <s v="T0208"/>
    <x v="44"/>
    <x v="67"/>
    <n v="112813"/>
    <x v="2"/>
    <s v="Electricity Board"/>
    <s v="Mumbai"/>
    <s v="Swipe"/>
    <s v="Monday"/>
    <x v="0"/>
    <x v="0"/>
    <s v="Suspicious"/>
  </r>
  <r>
    <s v="T0209"/>
    <x v="0"/>
    <x v="61"/>
    <n v="113867"/>
    <x v="1"/>
    <s v="IRCTC"/>
    <s v="Mumbai"/>
    <s v="Online"/>
    <s v="Monday"/>
    <x v="0"/>
    <x v="0"/>
    <s v="Suspicious"/>
  </r>
  <r>
    <s v="T0210"/>
    <x v="28"/>
    <x v="3"/>
    <n v="42737"/>
    <x v="3"/>
    <s v="Amazon"/>
    <s v="Mumbai"/>
    <s v="Swipe"/>
    <s v="Saturday"/>
    <x v="1"/>
    <x v="1"/>
    <s v="Normal"/>
  </r>
  <r>
    <s v="T0211"/>
    <x v="48"/>
    <x v="51"/>
    <n v="55476"/>
    <x v="5"/>
    <s v="Swiggy"/>
    <s v="Pune"/>
    <s v="Online"/>
    <s v="Thursday"/>
    <x v="0"/>
    <x v="0"/>
    <s v="Normal"/>
  </r>
  <r>
    <s v="T0212"/>
    <x v="4"/>
    <x v="75"/>
    <n v="47753"/>
    <x v="4"/>
    <s v="IndianOil"/>
    <s v="Chennai"/>
    <s v="Online"/>
    <s v="Tuesday"/>
    <x v="0"/>
    <x v="1"/>
    <s v="Normal"/>
  </r>
  <r>
    <s v="T0213"/>
    <x v="38"/>
    <x v="34"/>
    <n v="102959"/>
    <x v="2"/>
    <s v="Water Board"/>
    <s v="Chennai"/>
    <s v="Online"/>
    <s v="Wednesday"/>
    <x v="0"/>
    <x v="0"/>
    <s v="Suspicious"/>
  </r>
  <r>
    <s v="T0214"/>
    <x v="43"/>
    <x v="101"/>
    <n v="52940"/>
    <x v="5"/>
    <s v="KFC"/>
    <s v="Pune"/>
    <s v="Online"/>
    <s v="Thursday"/>
    <x v="0"/>
    <x v="0"/>
    <s v="Normal"/>
  </r>
  <r>
    <s v="T0215"/>
    <x v="34"/>
    <x v="13"/>
    <n v="58438"/>
    <x v="4"/>
    <s v="IndianOil"/>
    <s v="Bangalore"/>
    <s v="Swipe"/>
    <s v="Friday"/>
    <x v="0"/>
    <x v="0"/>
    <s v="Normal"/>
  </r>
  <r>
    <s v="T0216"/>
    <x v="46"/>
    <x v="58"/>
    <n v="16840"/>
    <x v="2"/>
    <s v="Water Board"/>
    <s v="Hyderabad"/>
    <s v="Swipe"/>
    <s v="Tuesday"/>
    <x v="0"/>
    <x v="1"/>
    <s v="Normal"/>
  </r>
  <r>
    <s v="T0217"/>
    <x v="3"/>
    <x v="65"/>
    <n v="38952"/>
    <x v="4"/>
    <s v="Bharat Petroleum"/>
    <s v="Hyderabad"/>
    <s v="Swipe"/>
    <s v="Friday"/>
    <x v="0"/>
    <x v="1"/>
    <s v="Normal"/>
  </r>
  <r>
    <s v="T0218"/>
    <x v="31"/>
    <x v="23"/>
    <n v="112077"/>
    <x v="5"/>
    <s v="Zomato"/>
    <s v="Chennai"/>
    <s v="Swipe"/>
    <s v="Monday"/>
    <x v="0"/>
    <x v="0"/>
    <s v="Suspicious"/>
  </r>
  <r>
    <s v="T0219"/>
    <x v="29"/>
    <x v="102"/>
    <n v="108751"/>
    <x v="1"/>
    <s v="IndiGo"/>
    <s v="Chennai"/>
    <s v="Swipe"/>
    <s v="Tuesday"/>
    <x v="0"/>
    <x v="0"/>
    <s v="Suspicious"/>
  </r>
  <r>
    <s v="T0220"/>
    <x v="6"/>
    <x v="41"/>
    <n v="56236"/>
    <x v="0"/>
    <s v="Reliance Digital"/>
    <s v="Pune"/>
    <s v="Swipe"/>
    <s v="Saturday"/>
    <x v="1"/>
    <x v="0"/>
    <s v="Normal"/>
  </r>
  <r>
    <s v="T0221"/>
    <x v="46"/>
    <x v="103"/>
    <n v="62463"/>
    <x v="3"/>
    <s v="Amazon"/>
    <s v="Bangalore"/>
    <s v="Online"/>
    <s v="Thursday"/>
    <x v="0"/>
    <x v="0"/>
    <s v="Normal"/>
  </r>
  <r>
    <s v="T0222"/>
    <x v="2"/>
    <x v="32"/>
    <n v="97894"/>
    <x v="5"/>
    <s v="Dominos"/>
    <s v="Mumbai"/>
    <s v="Online"/>
    <s v="Saturday"/>
    <x v="1"/>
    <x v="0"/>
    <s v="Suspicious"/>
  </r>
  <r>
    <s v="T0223"/>
    <x v="15"/>
    <x v="104"/>
    <n v="43507"/>
    <x v="2"/>
    <s v="Electricity Board"/>
    <s v="Chennai"/>
    <s v="Swipe"/>
    <s v="Tuesday"/>
    <x v="0"/>
    <x v="1"/>
    <s v="Normal"/>
  </r>
  <r>
    <s v="T0224"/>
    <x v="17"/>
    <x v="105"/>
    <n v="114082"/>
    <x v="0"/>
    <s v="Apple Store"/>
    <s v="Bangalore"/>
    <s v="Swipe"/>
    <s v="Saturday"/>
    <x v="1"/>
    <x v="0"/>
    <s v="Suspicious"/>
  </r>
  <r>
    <s v="T0225"/>
    <x v="25"/>
    <x v="5"/>
    <n v="13879"/>
    <x v="2"/>
    <s v="Electricity Board"/>
    <s v="Mumbai"/>
    <s v="Swipe"/>
    <s v="Thursday"/>
    <x v="0"/>
    <x v="1"/>
    <s v="Normal"/>
  </r>
  <r>
    <s v="T0226"/>
    <x v="6"/>
    <x v="106"/>
    <n v="111104"/>
    <x v="1"/>
    <s v="MakeMyTrip"/>
    <s v="Delhi"/>
    <s v="Online"/>
    <s v="Wednesday"/>
    <x v="0"/>
    <x v="0"/>
    <s v="Suspicious"/>
  </r>
  <r>
    <s v="T0227"/>
    <x v="23"/>
    <x v="81"/>
    <n v="106104"/>
    <x v="3"/>
    <s v="Ajio"/>
    <s v="Hyderabad"/>
    <s v="Online"/>
    <s v="Monday"/>
    <x v="0"/>
    <x v="0"/>
    <s v="Suspicious"/>
  </r>
  <r>
    <s v="T0228"/>
    <x v="33"/>
    <x v="7"/>
    <n v="91194"/>
    <x v="2"/>
    <s v="Water Board"/>
    <s v="Bangalore"/>
    <s v="Online"/>
    <s v="Tuesday"/>
    <x v="0"/>
    <x v="0"/>
    <s v="Suspicious"/>
  </r>
  <r>
    <s v="T0229"/>
    <x v="31"/>
    <x v="94"/>
    <n v="40799"/>
    <x v="3"/>
    <s v="Myntra"/>
    <s v="Delhi"/>
    <s v="Online"/>
    <s v="Sunday"/>
    <x v="1"/>
    <x v="1"/>
    <s v="Normal"/>
  </r>
  <r>
    <s v="T0230"/>
    <x v="46"/>
    <x v="43"/>
    <n v="86459"/>
    <x v="1"/>
    <s v="IndiGo"/>
    <s v="Bangalore"/>
    <s v="Online"/>
    <s v="Wednesday"/>
    <x v="0"/>
    <x v="0"/>
    <s v="Suspicious"/>
  </r>
  <r>
    <s v="T0231"/>
    <x v="11"/>
    <x v="0"/>
    <n v="12326"/>
    <x v="0"/>
    <s v="Apple Store"/>
    <s v="Hyderabad"/>
    <s v="Online"/>
    <s v="Thursday"/>
    <x v="0"/>
    <x v="1"/>
    <s v="Normal"/>
  </r>
  <r>
    <s v="T0232"/>
    <x v="29"/>
    <x v="6"/>
    <n v="44981"/>
    <x v="4"/>
    <s v="IndianOil"/>
    <s v="Delhi"/>
    <s v="Swipe"/>
    <s v="Wednesday"/>
    <x v="0"/>
    <x v="1"/>
    <s v="Normal"/>
  </r>
  <r>
    <s v="T0233"/>
    <x v="40"/>
    <x v="75"/>
    <n v="74695"/>
    <x v="0"/>
    <s v="Apple Store"/>
    <s v="Bangalore"/>
    <s v="Online"/>
    <s v="Tuesday"/>
    <x v="0"/>
    <x v="0"/>
    <s v="Normal"/>
  </r>
  <r>
    <s v="T0234"/>
    <x v="36"/>
    <x v="19"/>
    <n v="81281"/>
    <x v="1"/>
    <s v="IRCTC"/>
    <s v="Pune"/>
    <s v="Online"/>
    <s v="Saturday"/>
    <x v="1"/>
    <x v="0"/>
    <s v="Suspicious"/>
  </r>
  <r>
    <s v="T0235"/>
    <x v="4"/>
    <x v="61"/>
    <n v="55876"/>
    <x v="3"/>
    <s v="Ajio"/>
    <s v="Hyderabad"/>
    <s v="Swipe"/>
    <s v="Monday"/>
    <x v="0"/>
    <x v="0"/>
    <s v="Normal"/>
  </r>
  <r>
    <s v="T0236"/>
    <x v="5"/>
    <x v="107"/>
    <n v="99251"/>
    <x v="4"/>
    <s v="IndianOil"/>
    <s v="Delhi"/>
    <s v="Swipe"/>
    <s v="Sunday"/>
    <x v="1"/>
    <x v="0"/>
    <s v="Suspicious"/>
  </r>
  <r>
    <s v="T0237"/>
    <x v="8"/>
    <x v="97"/>
    <n v="89230"/>
    <x v="5"/>
    <s v="KFC"/>
    <s v="Hyderabad"/>
    <s v="Swipe"/>
    <s v="Wednesday"/>
    <x v="0"/>
    <x v="0"/>
    <s v="Suspicious"/>
  </r>
  <r>
    <s v="T0238"/>
    <x v="12"/>
    <x v="93"/>
    <n v="78854"/>
    <x v="5"/>
    <s v="Swiggy"/>
    <s v="Bangalore"/>
    <s v="Online"/>
    <s v="Tuesday"/>
    <x v="0"/>
    <x v="0"/>
    <s v="Suspicious"/>
  </r>
  <r>
    <s v="T0239"/>
    <x v="13"/>
    <x v="54"/>
    <n v="18287"/>
    <x v="3"/>
    <s v="Myntra"/>
    <s v="Delhi"/>
    <s v="Swipe"/>
    <s v="Monday"/>
    <x v="0"/>
    <x v="1"/>
    <s v="Normal"/>
  </r>
  <r>
    <s v="T0240"/>
    <x v="44"/>
    <x v="88"/>
    <n v="98212"/>
    <x v="5"/>
    <s v="KFC"/>
    <s v="Mumbai"/>
    <s v="Online"/>
    <s v="Monday"/>
    <x v="0"/>
    <x v="0"/>
    <s v="Suspicious"/>
  </r>
  <r>
    <s v="T0241"/>
    <x v="19"/>
    <x v="57"/>
    <n v="30461"/>
    <x v="4"/>
    <s v="Bharat Petroleum"/>
    <s v="Bangalore"/>
    <s v="Swipe"/>
    <s v="Sunday"/>
    <x v="1"/>
    <x v="1"/>
    <s v="Normal"/>
  </r>
  <r>
    <s v="T0242"/>
    <x v="38"/>
    <x v="108"/>
    <n v="2756"/>
    <x v="0"/>
    <s v="Reliance Digital"/>
    <s v="Bangalore"/>
    <s v="Swipe"/>
    <s v="Sunday"/>
    <x v="1"/>
    <x v="1"/>
    <s v="Normal"/>
  </r>
  <r>
    <s v="T0243"/>
    <x v="2"/>
    <x v="31"/>
    <n v="53308"/>
    <x v="2"/>
    <s v="Water Board"/>
    <s v="Delhi"/>
    <s v="Online"/>
    <s v="Thursday"/>
    <x v="0"/>
    <x v="0"/>
    <s v="Normal"/>
  </r>
  <r>
    <s v="T0244"/>
    <x v="22"/>
    <x v="60"/>
    <n v="22827"/>
    <x v="4"/>
    <s v="Bharat Petroleum"/>
    <s v="Pune"/>
    <s v="Swipe"/>
    <s v="Sunday"/>
    <x v="1"/>
    <x v="1"/>
    <s v="Normal"/>
  </r>
  <r>
    <s v="T0245"/>
    <x v="2"/>
    <x v="101"/>
    <n v="14175"/>
    <x v="5"/>
    <s v="Zomato"/>
    <s v="Chennai"/>
    <s v="Swipe"/>
    <s v="Thursday"/>
    <x v="0"/>
    <x v="1"/>
    <s v="Normal"/>
  </r>
  <r>
    <s v="T0246"/>
    <x v="41"/>
    <x v="93"/>
    <n v="114401"/>
    <x v="2"/>
    <s v="Water Board"/>
    <s v="Pune"/>
    <s v="Swipe"/>
    <s v="Tuesday"/>
    <x v="0"/>
    <x v="0"/>
    <s v="Suspicious"/>
  </r>
  <r>
    <s v="T0247"/>
    <x v="47"/>
    <x v="75"/>
    <n v="22337"/>
    <x v="1"/>
    <s v="IRCTC"/>
    <s v="Hyderabad"/>
    <s v="Online"/>
    <s v="Tuesday"/>
    <x v="0"/>
    <x v="1"/>
    <s v="Normal"/>
  </r>
  <r>
    <s v="T0248"/>
    <x v="20"/>
    <x v="82"/>
    <n v="119041"/>
    <x v="2"/>
    <s v="Water Board"/>
    <s v="Delhi"/>
    <s v="Online"/>
    <s v="Thursday"/>
    <x v="0"/>
    <x v="0"/>
    <s v="Suspicious"/>
  </r>
  <r>
    <s v="T0249"/>
    <x v="6"/>
    <x v="109"/>
    <n v="33850"/>
    <x v="1"/>
    <s v="IRCTC"/>
    <s v="Mumbai"/>
    <s v="Online"/>
    <s v="Friday"/>
    <x v="0"/>
    <x v="1"/>
    <s v="Normal"/>
  </r>
  <r>
    <s v="T0250"/>
    <x v="9"/>
    <x v="21"/>
    <n v="101598"/>
    <x v="0"/>
    <s v="Apple Store"/>
    <s v="Chennai"/>
    <s v="Swipe"/>
    <s v="Tuesday"/>
    <x v="0"/>
    <x v="0"/>
    <s v="Suspicious"/>
  </r>
  <r>
    <s v="T0251"/>
    <x v="17"/>
    <x v="39"/>
    <n v="59138"/>
    <x v="2"/>
    <s v="Water Board"/>
    <s v="Pune"/>
    <s v="Swipe"/>
    <s v="Friday"/>
    <x v="0"/>
    <x v="0"/>
    <s v="Normal"/>
  </r>
  <r>
    <s v="T0252"/>
    <x v="4"/>
    <x v="58"/>
    <n v="61762"/>
    <x v="1"/>
    <s v="IndiGo"/>
    <s v="Pune"/>
    <s v="Swipe"/>
    <s v="Tuesday"/>
    <x v="0"/>
    <x v="0"/>
    <s v="Normal"/>
  </r>
  <r>
    <s v="T0253"/>
    <x v="26"/>
    <x v="29"/>
    <n v="46429"/>
    <x v="3"/>
    <s v="Amazon"/>
    <s v="Delhi"/>
    <s v="Swipe"/>
    <s v="Monday"/>
    <x v="0"/>
    <x v="1"/>
    <s v="Normal"/>
  </r>
  <r>
    <s v="T0254"/>
    <x v="38"/>
    <x v="29"/>
    <n v="48631"/>
    <x v="4"/>
    <s v="Bharat Petroleum"/>
    <s v="Bangalore"/>
    <s v="Online"/>
    <s v="Monday"/>
    <x v="0"/>
    <x v="1"/>
    <s v="Normal"/>
  </r>
  <r>
    <s v="T0255"/>
    <x v="3"/>
    <x v="92"/>
    <n v="50694"/>
    <x v="2"/>
    <s v="Water Board"/>
    <s v="Hyderabad"/>
    <s v="Online"/>
    <s v="Tuesday"/>
    <x v="0"/>
    <x v="0"/>
    <s v="Normal"/>
  </r>
  <r>
    <s v="T0256"/>
    <x v="23"/>
    <x v="110"/>
    <n v="24972"/>
    <x v="4"/>
    <s v="Bharat Petroleum"/>
    <s v="Hyderabad"/>
    <s v="Swipe"/>
    <s v="Sunday"/>
    <x v="1"/>
    <x v="1"/>
    <s v="Normal"/>
  </r>
  <r>
    <s v="T0257"/>
    <x v="46"/>
    <x v="29"/>
    <n v="59350"/>
    <x v="2"/>
    <s v="Electricity Board"/>
    <s v="Delhi"/>
    <s v="Online"/>
    <s v="Monday"/>
    <x v="0"/>
    <x v="0"/>
    <s v="Normal"/>
  </r>
  <r>
    <s v="T0258"/>
    <x v="14"/>
    <x v="21"/>
    <n v="5430"/>
    <x v="2"/>
    <s v="Electricity Board"/>
    <s v="Pune"/>
    <s v="Swipe"/>
    <s v="Tuesday"/>
    <x v="0"/>
    <x v="1"/>
    <s v="Normal"/>
  </r>
  <r>
    <s v="T0259"/>
    <x v="24"/>
    <x v="111"/>
    <n v="80228"/>
    <x v="4"/>
    <s v="IndianOil"/>
    <s v="Delhi"/>
    <s v="Swipe"/>
    <s v="Thursday"/>
    <x v="0"/>
    <x v="0"/>
    <s v="Suspicious"/>
  </r>
  <r>
    <s v="T0260"/>
    <x v="30"/>
    <x v="86"/>
    <n v="101810"/>
    <x v="3"/>
    <s v="Myntra"/>
    <s v="Pune"/>
    <s v="Online"/>
    <s v="Thursday"/>
    <x v="0"/>
    <x v="0"/>
    <s v="Suspicious"/>
  </r>
  <r>
    <s v="T0261"/>
    <x v="14"/>
    <x v="55"/>
    <n v="8939"/>
    <x v="0"/>
    <s v="Reliance Digital"/>
    <s v="Bangalore"/>
    <s v="Swipe"/>
    <s v="Monday"/>
    <x v="0"/>
    <x v="1"/>
    <s v="Normal"/>
  </r>
  <r>
    <s v="T0262"/>
    <x v="18"/>
    <x v="59"/>
    <n v="111916"/>
    <x v="3"/>
    <s v="Flipkart"/>
    <s v="Delhi"/>
    <s v="Online"/>
    <s v="Tuesday"/>
    <x v="0"/>
    <x v="0"/>
    <s v="Suspicious"/>
  </r>
  <r>
    <s v="T0263"/>
    <x v="33"/>
    <x v="109"/>
    <n v="46151"/>
    <x v="2"/>
    <s v="Water Board"/>
    <s v="Pune"/>
    <s v="Swipe"/>
    <s v="Friday"/>
    <x v="0"/>
    <x v="1"/>
    <s v="Normal"/>
  </r>
  <r>
    <s v="T0264"/>
    <x v="3"/>
    <x v="57"/>
    <n v="11404"/>
    <x v="1"/>
    <s v="IndiGo"/>
    <s v="Hyderabad"/>
    <s v="Swipe"/>
    <s v="Sunday"/>
    <x v="1"/>
    <x v="1"/>
    <s v="Normal"/>
  </r>
  <r>
    <s v="T0265"/>
    <x v="47"/>
    <x v="100"/>
    <n v="17050"/>
    <x v="0"/>
    <s v="Apple Store"/>
    <s v="Pune"/>
    <s v="Online"/>
    <s v="Sunday"/>
    <x v="1"/>
    <x v="1"/>
    <s v="Normal"/>
  </r>
  <r>
    <s v="T0266"/>
    <x v="33"/>
    <x v="105"/>
    <n v="66948"/>
    <x v="0"/>
    <s v="Reliance Digital"/>
    <s v="Bangalore"/>
    <s v="Swipe"/>
    <s v="Saturday"/>
    <x v="1"/>
    <x v="0"/>
    <s v="Normal"/>
  </r>
  <r>
    <s v="T0267"/>
    <x v="39"/>
    <x v="107"/>
    <n v="45091"/>
    <x v="3"/>
    <s v="Ajio"/>
    <s v="Mumbai"/>
    <s v="Online"/>
    <s v="Sunday"/>
    <x v="1"/>
    <x v="1"/>
    <s v="Normal"/>
  </r>
  <r>
    <s v="T0268"/>
    <x v="46"/>
    <x v="68"/>
    <n v="39070"/>
    <x v="1"/>
    <s v="IRCTC"/>
    <s v="Hyderabad"/>
    <s v="Online"/>
    <s v="Wednesday"/>
    <x v="0"/>
    <x v="1"/>
    <s v="Normal"/>
  </r>
  <r>
    <s v="T0269"/>
    <x v="47"/>
    <x v="79"/>
    <n v="100741"/>
    <x v="0"/>
    <s v="Apple Store"/>
    <s v="Mumbai"/>
    <s v="Swipe"/>
    <s v="Monday"/>
    <x v="0"/>
    <x v="0"/>
    <s v="Suspicious"/>
  </r>
  <r>
    <s v="T0270"/>
    <x v="36"/>
    <x v="73"/>
    <n v="109266"/>
    <x v="1"/>
    <s v="MakeMyTrip"/>
    <s v="Hyderabad"/>
    <s v="Online"/>
    <s v="Wednesday"/>
    <x v="0"/>
    <x v="0"/>
    <s v="Suspicious"/>
  </r>
  <r>
    <s v="T0271"/>
    <x v="4"/>
    <x v="8"/>
    <n v="54152"/>
    <x v="0"/>
    <s v="Reliance Digital"/>
    <s v="Pune"/>
    <s v="Online"/>
    <s v="Saturday"/>
    <x v="1"/>
    <x v="0"/>
    <s v="Normal"/>
  </r>
  <r>
    <s v="T0272"/>
    <x v="35"/>
    <x v="112"/>
    <n v="98917"/>
    <x v="4"/>
    <s v="Bharat Petroleum"/>
    <s v="Mumbai"/>
    <s v="Online"/>
    <s v="Tuesday"/>
    <x v="0"/>
    <x v="0"/>
    <s v="Suspicious"/>
  </r>
  <r>
    <s v="T0273"/>
    <x v="43"/>
    <x v="49"/>
    <n v="109759"/>
    <x v="3"/>
    <s v="Flipkart"/>
    <s v="Delhi"/>
    <s v="Swipe"/>
    <s v="Thursday"/>
    <x v="0"/>
    <x v="0"/>
    <s v="Suspicious"/>
  </r>
  <r>
    <s v="T0274"/>
    <x v="21"/>
    <x v="112"/>
    <n v="102290"/>
    <x v="4"/>
    <s v="Bharat Petroleum"/>
    <s v="Hyderabad"/>
    <s v="Swipe"/>
    <s v="Tuesday"/>
    <x v="0"/>
    <x v="0"/>
    <s v="Suspicious"/>
  </r>
  <r>
    <s v="T0275"/>
    <x v="42"/>
    <x v="63"/>
    <n v="79554"/>
    <x v="1"/>
    <s v="IRCTC"/>
    <s v="Delhi"/>
    <s v="Online"/>
    <s v="Friday"/>
    <x v="0"/>
    <x v="0"/>
    <s v="Suspicious"/>
  </r>
  <r>
    <s v="T0276"/>
    <x v="43"/>
    <x v="26"/>
    <n v="48955"/>
    <x v="0"/>
    <s v="Apple Store"/>
    <s v="Bangalore"/>
    <s v="Online"/>
    <s v="Sunday"/>
    <x v="1"/>
    <x v="1"/>
    <s v="Normal"/>
  </r>
  <r>
    <s v="T0277"/>
    <x v="41"/>
    <x v="94"/>
    <n v="21312"/>
    <x v="3"/>
    <s v="Myntra"/>
    <s v="Chennai"/>
    <s v="Online"/>
    <s v="Sunday"/>
    <x v="1"/>
    <x v="1"/>
    <s v="Normal"/>
  </r>
  <r>
    <s v="T0278"/>
    <x v="41"/>
    <x v="13"/>
    <n v="29402"/>
    <x v="4"/>
    <s v="Bharat Petroleum"/>
    <s v="Delhi"/>
    <s v="Online"/>
    <s v="Friday"/>
    <x v="0"/>
    <x v="1"/>
    <s v="Normal"/>
  </r>
  <r>
    <s v="T0279"/>
    <x v="32"/>
    <x v="93"/>
    <n v="66099"/>
    <x v="4"/>
    <s v="Bharat Petroleum"/>
    <s v="Mumbai"/>
    <s v="Swipe"/>
    <s v="Tuesday"/>
    <x v="0"/>
    <x v="0"/>
    <s v="Normal"/>
  </r>
  <r>
    <s v="T0280"/>
    <x v="10"/>
    <x v="81"/>
    <n v="3994"/>
    <x v="5"/>
    <s v="Dominos"/>
    <s v="Bangalore"/>
    <s v="Swipe"/>
    <s v="Monday"/>
    <x v="0"/>
    <x v="1"/>
    <s v="Normal"/>
  </r>
  <r>
    <s v="T0281"/>
    <x v="48"/>
    <x v="2"/>
    <n v="37901"/>
    <x v="1"/>
    <s v="IndiGo"/>
    <s v="Pune"/>
    <s v="Online"/>
    <s v="Friday"/>
    <x v="0"/>
    <x v="1"/>
    <s v="Normal"/>
  </r>
  <r>
    <s v="T0282"/>
    <x v="43"/>
    <x v="35"/>
    <n v="80954"/>
    <x v="0"/>
    <s v="Croma"/>
    <s v="Bangalore"/>
    <s v="Online"/>
    <s v="Tuesday"/>
    <x v="0"/>
    <x v="0"/>
    <s v="Suspicious"/>
  </r>
  <r>
    <s v="T0283"/>
    <x v="13"/>
    <x v="7"/>
    <n v="19897"/>
    <x v="3"/>
    <s v="Ajio"/>
    <s v="Bangalore"/>
    <s v="Swipe"/>
    <s v="Tuesday"/>
    <x v="0"/>
    <x v="1"/>
    <s v="Normal"/>
  </r>
  <r>
    <s v="T0284"/>
    <x v="25"/>
    <x v="28"/>
    <n v="6558"/>
    <x v="1"/>
    <s v="IRCTC"/>
    <s v="Chennai"/>
    <s v="Swipe"/>
    <s v="Tuesday"/>
    <x v="0"/>
    <x v="1"/>
    <s v="Normal"/>
  </r>
  <r>
    <s v="T0285"/>
    <x v="0"/>
    <x v="72"/>
    <n v="118939"/>
    <x v="5"/>
    <s v="KFC"/>
    <s v="Hyderabad"/>
    <s v="Online"/>
    <s v="Wednesday"/>
    <x v="0"/>
    <x v="0"/>
    <s v="Suspicious"/>
  </r>
  <r>
    <s v="T0286"/>
    <x v="20"/>
    <x v="31"/>
    <n v="32011"/>
    <x v="0"/>
    <s v="Apple Store"/>
    <s v="Mumbai"/>
    <s v="Swipe"/>
    <s v="Thursday"/>
    <x v="0"/>
    <x v="1"/>
    <s v="Normal"/>
  </r>
  <r>
    <s v="T0287"/>
    <x v="44"/>
    <x v="78"/>
    <n v="46544"/>
    <x v="4"/>
    <s v="IndianOil"/>
    <s v="Hyderabad"/>
    <s v="Swipe"/>
    <s v="Tuesday"/>
    <x v="0"/>
    <x v="1"/>
    <s v="Normal"/>
  </r>
  <r>
    <s v="T0288"/>
    <x v="33"/>
    <x v="50"/>
    <n v="11521"/>
    <x v="1"/>
    <s v="MakeMyTrip"/>
    <s v="Delhi"/>
    <s v="Online"/>
    <s v="Tuesday"/>
    <x v="0"/>
    <x v="1"/>
    <s v="Normal"/>
  </r>
  <r>
    <s v="T0289"/>
    <x v="19"/>
    <x v="92"/>
    <n v="103376"/>
    <x v="2"/>
    <s v="Electricity Board"/>
    <s v="Chennai"/>
    <s v="Swipe"/>
    <s v="Tuesday"/>
    <x v="0"/>
    <x v="0"/>
    <s v="Suspicious"/>
  </r>
  <r>
    <s v="T0290"/>
    <x v="11"/>
    <x v="70"/>
    <n v="49229"/>
    <x v="5"/>
    <s v="Dominos"/>
    <s v="Pune"/>
    <s v="Online"/>
    <s v="Monday"/>
    <x v="0"/>
    <x v="1"/>
    <s v="Normal"/>
  </r>
  <r>
    <s v="T0291"/>
    <x v="9"/>
    <x v="106"/>
    <n v="31904"/>
    <x v="3"/>
    <s v="Amazon"/>
    <s v="Hyderabad"/>
    <s v="Swipe"/>
    <s v="Wednesday"/>
    <x v="0"/>
    <x v="1"/>
    <s v="Normal"/>
  </r>
  <r>
    <s v="T0292"/>
    <x v="38"/>
    <x v="5"/>
    <n v="71867"/>
    <x v="1"/>
    <s v="IndiGo"/>
    <s v="Pune"/>
    <s v="Online"/>
    <s v="Thursday"/>
    <x v="0"/>
    <x v="0"/>
    <s v="Normal"/>
  </r>
  <r>
    <s v="T0293"/>
    <x v="27"/>
    <x v="84"/>
    <n v="63022"/>
    <x v="0"/>
    <s v="Apple Store"/>
    <s v="Mumbai"/>
    <s v="Online"/>
    <s v="Saturday"/>
    <x v="1"/>
    <x v="0"/>
    <s v="Normal"/>
  </r>
  <r>
    <s v="T0294"/>
    <x v="34"/>
    <x v="75"/>
    <n v="60288"/>
    <x v="5"/>
    <s v="Swiggy"/>
    <s v="Delhi"/>
    <s v="Online"/>
    <s v="Tuesday"/>
    <x v="0"/>
    <x v="0"/>
    <s v="Normal"/>
  </r>
  <r>
    <s v="T0295"/>
    <x v="42"/>
    <x v="62"/>
    <n v="5792"/>
    <x v="5"/>
    <s v="Dominos"/>
    <s v="Delhi"/>
    <s v="Swipe"/>
    <s v="Tuesday"/>
    <x v="0"/>
    <x v="1"/>
    <s v="Normal"/>
  </r>
  <r>
    <s v="T0296"/>
    <x v="43"/>
    <x v="47"/>
    <n v="5099"/>
    <x v="2"/>
    <s v="Electricity Board"/>
    <s v="Delhi"/>
    <s v="Swipe"/>
    <s v="Friday"/>
    <x v="0"/>
    <x v="1"/>
    <s v="Normal"/>
  </r>
  <r>
    <s v="T0297"/>
    <x v="14"/>
    <x v="55"/>
    <n v="36111"/>
    <x v="5"/>
    <s v="Swiggy"/>
    <s v="Delhi"/>
    <s v="Swipe"/>
    <s v="Monday"/>
    <x v="0"/>
    <x v="1"/>
    <s v="Normal"/>
  </r>
  <r>
    <s v="T0298"/>
    <x v="1"/>
    <x v="44"/>
    <n v="117561"/>
    <x v="4"/>
    <s v="Bharat Petroleum"/>
    <s v="Delhi"/>
    <s v="Online"/>
    <s v="Monday"/>
    <x v="0"/>
    <x v="0"/>
    <s v="Suspicious"/>
  </r>
  <r>
    <s v="T0299"/>
    <x v="31"/>
    <x v="88"/>
    <n v="48448"/>
    <x v="4"/>
    <s v="Bharat Petroleum"/>
    <s v="Bangalore"/>
    <s v="Swipe"/>
    <s v="Monday"/>
    <x v="0"/>
    <x v="1"/>
    <s v="Normal"/>
  </r>
  <r>
    <s v="T0300"/>
    <x v="2"/>
    <x v="22"/>
    <n v="108085"/>
    <x v="5"/>
    <s v="Zomato"/>
    <s v="Hyderabad"/>
    <s v="Swipe"/>
    <s v="Monday"/>
    <x v="0"/>
    <x v="0"/>
    <s v="Suspicious"/>
  </r>
  <r>
    <s v="T0301"/>
    <x v="6"/>
    <x v="24"/>
    <n v="43281"/>
    <x v="3"/>
    <s v="Myntra"/>
    <s v="Delhi"/>
    <s v="Swipe"/>
    <s v="Thursday"/>
    <x v="0"/>
    <x v="1"/>
    <s v="Normal"/>
  </r>
  <r>
    <s v="T0302"/>
    <x v="34"/>
    <x v="105"/>
    <n v="22142"/>
    <x v="2"/>
    <s v="Water Board"/>
    <s v="Delhi"/>
    <s v="Swipe"/>
    <s v="Saturday"/>
    <x v="1"/>
    <x v="1"/>
    <s v="Normal"/>
  </r>
  <r>
    <s v="T0303"/>
    <x v="7"/>
    <x v="26"/>
    <n v="119786"/>
    <x v="5"/>
    <s v="Dominos"/>
    <s v="Hyderabad"/>
    <s v="Swipe"/>
    <s v="Sunday"/>
    <x v="1"/>
    <x v="0"/>
    <s v="Suspicious"/>
  </r>
  <r>
    <s v="T0304"/>
    <x v="11"/>
    <x v="85"/>
    <n v="7818"/>
    <x v="3"/>
    <s v="Amazon"/>
    <s v="Pune"/>
    <s v="Swipe"/>
    <s v="Thursday"/>
    <x v="0"/>
    <x v="1"/>
    <s v="Normal"/>
  </r>
  <r>
    <s v="T0305"/>
    <x v="20"/>
    <x v="63"/>
    <n v="98590"/>
    <x v="3"/>
    <s v="Flipkart"/>
    <s v="Bangalore"/>
    <s v="Online"/>
    <s v="Friday"/>
    <x v="0"/>
    <x v="0"/>
    <s v="Suspicious"/>
  </r>
  <r>
    <s v="T0306"/>
    <x v="45"/>
    <x v="52"/>
    <n v="57732"/>
    <x v="2"/>
    <s v="Electricity Board"/>
    <s v="Mumbai"/>
    <s v="Online"/>
    <s v="Wednesday"/>
    <x v="0"/>
    <x v="0"/>
    <s v="Normal"/>
  </r>
  <r>
    <s v="T0307"/>
    <x v="21"/>
    <x v="80"/>
    <n v="48315"/>
    <x v="1"/>
    <s v="IndiGo"/>
    <s v="Chennai"/>
    <s v="Online"/>
    <s v="Saturday"/>
    <x v="1"/>
    <x v="1"/>
    <s v="Normal"/>
  </r>
  <r>
    <s v="T0308"/>
    <x v="46"/>
    <x v="97"/>
    <n v="59272"/>
    <x v="2"/>
    <s v="Water Board"/>
    <s v="Delhi"/>
    <s v="Swipe"/>
    <s v="Wednesday"/>
    <x v="0"/>
    <x v="0"/>
    <s v="Normal"/>
  </r>
  <r>
    <s v="T0309"/>
    <x v="23"/>
    <x v="113"/>
    <n v="69697"/>
    <x v="5"/>
    <s v="Dominos"/>
    <s v="Chennai"/>
    <s v="Swipe"/>
    <s v="Thursday"/>
    <x v="0"/>
    <x v="0"/>
    <s v="Normal"/>
  </r>
  <r>
    <s v="T0310"/>
    <x v="5"/>
    <x v="40"/>
    <n v="15169"/>
    <x v="0"/>
    <s v="Croma"/>
    <s v="Pune"/>
    <s v="Online"/>
    <s v="Thursday"/>
    <x v="0"/>
    <x v="1"/>
    <s v="Normal"/>
  </r>
  <r>
    <s v="T0311"/>
    <x v="24"/>
    <x v="70"/>
    <n v="73919"/>
    <x v="4"/>
    <s v="IndianOil"/>
    <s v="Delhi"/>
    <s v="Swipe"/>
    <s v="Monday"/>
    <x v="0"/>
    <x v="0"/>
    <s v="Normal"/>
  </r>
  <r>
    <s v="T0312"/>
    <x v="4"/>
    <x v="107"/>
    <n v="80499"/>
    <x v="0"/>
    <s v="Reliance Digital"/>
    <s v="Pune"/>
    <s v="Swipe"/>
    <s v="Sunday"/>
    <x v="1"/>
    <x v="0"/>
    <s v="Suspicious"/>
  </r>
  <r>
    <s v="T0313"/>
    <x v="0"/>
    <x v="113"/>
    <n v="112081"/>
    <x v="1"/>
    <s v="IRCTC"/>
    <s v="Chennai"/>
    <s v="Online"/>
    <s v="Thursday"/>
    <x v="0"/>
    <x v="0"/>
    <s v="Suspicious"/>
  </r>
  <r>
    <s v="T0314"/>
    <x v="4"/>
    <x v="99"/>
    <n v="106535"/>
    <x v="0"/>
    <s v="Apple Store"/>
    <s v="Delhi"/>
    <s v="Swipe"/>
    <s v="Friday"/>
    <x v="0"/>
    <x v="0"/>
    <s v="Suspicious"/>
  </r>
  <r>
    <s v="T0315"/>
    <x v="9"/>
    <x v="18"/>
    <n v="71363"/>
    <x v="0"/>
    <s v="Reliance Digital"/>
    <s v="Delhi"/>
    <s v="Online"/>
    <s v="Monday"/>
    <x v="0"/>
    <x v="0"/>
    <s v="Normal"/>
  </r>
  <r>
    <s v="T0316"/>
    <x v="34"/>
    <x v="11"/>
    <n v="92079"/>
    <x v="0"/>
    <s v="Apple Store"/>
    <s v="Mumbai"/>
    <s v="Swipe"/>
    <s v="Sunday"/>
    <x v="1"/>
    <x v="0"/>
    <s v="Suspicious"/>
  </r>
  <r>
    <s v="T0317"/>
    <x v="12"/>
    <x v="28"/>
    <n v="26642"/>
    <x v="2"/>
    <s v="Electricity Board"/>
    <s v="Mumbai"/>
    <s v="Swipe"/>
    <s v="Tuesday"/>
    <x v="0"/>
    <x v="1"/>
    <s v="Normal"/>
  </r>
  <r>
    <s v="T0318"/>
    <x v="10"/>
    <x v="18"/>
    <n v="75309"/>
    <x v="5"/>
    <s v="Dominos"/>
    <s v="Chennai"/>
    <s v="Online"/>
    <s v="Monday"/>
    <x v="0"/>
    <x v="0"/>
    <s v="Suspicious"/>
  </r>
  <r>
    <s v="T0319"/>
    <x v="41"/>
    <x v="58"/>
    <n v="40839"/>
    <x v="2"/>
    <s v="Water Board"/>
    <s v="Pune"/>
    <s v="Swipe"/>
    <s v="Tuesday"/>
    <x v="0"/>
    <x v="1"/>
    <s v="Normal"/>
  </r>
  <r>
    <s v="T0320"/>
    <x v="29"/>
    <x v="54"/>
    <n v="53965"/>
    <x v="2"/>
    <s v="Electricity Board"/>
    <s v="Mumbai"/>
    <s v="Swipe"/>
    <s v="Monday"/>
    <x v="0"/>
    <x v="0"/>
    <s v="Normal"/>
  </r>
  <r>
    <s v="T0321"/>
    <x v="9"/>
    <x v="35"/>
    <n v="61357"/>
    <x v="0"/>
    <s v="Apple Store"/>
    <s v="Hyderabad"/>
    <s v="Swipe"/>
    <s v="Tuesday"/>
    <x v="0"/>
    <x v="0"/>
    <s v="Normal"/>
  </r>
  <r>
    <s v="T0322"/>
    <x v="21"/>
    <x v="18"/>
    <n v="84159"/>
    <x v="1"/>
    <s v="MakeMyTrip"/>
    <s v="Mumbai"/>
    <s v="Online"/>
    <s v="Monday"/>
    <x v="0"/>
    <x v="0"/>
    <s v="Suspicious"/>
  </r>
  <r>
    <s v="T0323"/>
    <x v="20"/>
    <x v="13"/>
    <n v="114098"/>
    <x v="4"/>
    <s v="IndianOil"/>
    <s v="Bangalore"/>
    <s v="Online"/>
    <s v="Friday"/>
    <x v="0"/>
    <x v="0"/>
    <s v="Suspicious"/>
  </r>
  <r>
    <s v="T0324"/>
    <x v="36"/>
    <x v="20"/>
    <n v="42591"/>
    <x v="3"/>
    <s v="Flipkart"/>
    <s v="Delhi"/>
    <s v="Swipe"/>
    <s v="Sunday"/>
    <x v="1"/>
    <x v="1"/>
    <s v="Normal"/>
  </r>
  <r>
    <s v="T0325"/>
    <x v="18"/>
    <x v="53"/>
    <n v="83538"/>
    <x v="5"/>
    <s v="Dominos"/>
    <s v="Mumbai"/>
    <s v="Swipe"/>
    <s v="Friday"/>
    <x v="0"/>
    <x v="0"/>
    <s v="Suspicious"/>
  </r>
  <r>
    <s v="T0326"/>
    <x v="19"/>
    <x v="99"/>
    <n v="66173"/>
    <x v="2"/>
    <s v="Electricity Board"/>
    <s v="Hyderabad"/>
    <s v="Online"/>
    <s v="Friday"/>
    <x v="0"/>
    <x v="0"/>
    <s v="Normal"/>
  </r>
  <r>
    <s v="T0327"/>
    <x v="33"/>
    <x v="76"/>
    <n v="94754"/>
    <x v="1"/>
    <s v="MakeMyTrip"/>
    <s v="Delhi"/>
    <s v="Online"/>
    <s v="Wednesday"/>
    <x v="0"/>
    <x v="0"/>
    <s v="Suspicious"/>
  </r>
  <r>
    <s v="T0328"/>
    <x v="41"/>
    <x v="8"/>
    <n v="84376"/>
    <x v="5"/>
    <s v="Dominos"/>
    <s v="Pune"/>
    <s v="Online"/>
    <s v="Saturday"/>
    <x v="1"/>
    <x v="0"/>
    <s v="Suspicious"/>
  </r>
  <r>
    <s v="T0329"/>
    <x v="29"/>
    <x v="76"/>
    <n v="84053"/>
    <x v="2"/>
    <s v="Electricity Board"/>
    <s v="Chennai"/>
    <s v="Swipe"/>
    <s v="Wednesday"/>
    <x v="0"/>
    <x v="0"/>
    <s v="Suspicious"/>
  </r>
  <r>
    <s v="T0330"/>
    <x v="25"/>
    <x v="71"/>
    <n v="32396"/>
    <x v="0"/>
    <s v="Apple Store"/>
    <s v="Chennai"/>
    <s v="Swipe"/>
    <s v="Saturday"/>
    <x v="1"/>
    <x v="1"/>
    <s v="Normal"/>
  </r>
  <r>
    <s v="T0331"/>
    <x v="9"/>
    <x v="69"/>
    <n v="8152"/>
    <x v="4"/>
    <s v="IndianOil"/>
    <s v="Chennai"/>
    <s v="Swipe"/>
    <s v="Friday"/>
    <x v="0"/>
    <x v="1"/>
    <s v="Normal"/>
  </r>
  <r>
    <s v="T0332"/>
    <x v="27"/>
    <x v="114"/>
    <n v="44889"/>
    <x v="4"/>
    <s v="IndianOil"/>
    <s v="Delhi"/>
    <s v="Swipe"/>
    <s v="Saturday"/>
    <x v="1"/>
    <x v="1"/>
    <s v="Normal"/>
  </r>
  <r>
    <s v="T0333"/>
    <x v="49"/>
    <x v="27"/>
    <n v="17439"/>
    <x v="0"/>
    <s v="Reliance Digital"/>
    <s v="Hyderabad"/>
    <s v="Online"/>
    <s v="Wednesday"/>
    <x v="0"/>
    <x v="1"/>
    <s v="Normal"/>
  </r>
  <r>
    <s v="T0334"/>
    <x v="28"/>
    <x v="115"/>
    <n v="16359"/>
    <x v="3"/>
    <s v="Myntra"/>
    <s v="Chennai"/>
    <s v="Online"/>
    <s v="Thursday"/>
    <x v="0"/>
    <x v="1"/>
    <s v="Normal"/>
  </r>
  <r>
    <s v="T0335"/>
    <x v="6"/>
    <x v="16"/>
    <n v="38338"/>
    <x v="1"/>
    <s v="IndiGo"/>
    <s v="Hyderabad"/>
    <s v="Swipe"/>
    <s v="Sunday"/>
    <x v="1"/>
    <x v="1"/>
    <s v="Normal"/>
  </r>
  <r>
    <s v="T0336"/>
    <x v="36"/>
    <x v="100"/>
    <n v="43217"/>
    <x v="1"/>
    <s v="MakeMyTrip"/>
    <s v="Pune"/>
    <s v="Swipe"/>
    <s v="Sunday"/>
    <x v="1"/>
    <x v="1"/>
    <s v="Normal"/>
  </r>
  <r>
    <s v="T0337"/>
    <x v="17"/>
    <x v="20"/>
    <n v="65608"/>
    <x v="1"/>
    <s v="MakeMyTrip"/>
    <s v="Chennai"/>
    <s v="Swipe"/>
    <s v="Sunday"/>
    <x v="1"/>
    <x v="0"/>
    <s v="Normal"/>
  </r>
  <r>
    <s v="T0338"/>
    <x v="37"/>
    <x v="116"/>
    <n v="12102"/>
    <x v="3"/>
    <s v="Ajio"/>
    <s v="Hyderabad"/>
    <s v="Swipe"/>
    <s v="Wednesday"/>
    <x v="0"/>
    <x v="1"/>
    <s v="Normal"/>
  </r>
  <r>
    <s v="T0339"/>
    <x v="13"/>
    <x v="39"/>
    <n v="46554"/>
    <x v="1"/>
    <s v="IRCTC"/>
    <s v="Bangalore"/>
    <s v="Swipe"/>
    <s v="Friday"/>
    <x v="0"/>
    <x v="1"/>
    <s v="Normal"/>
  </r>
  <r>
    <s v="T0340"/>
    <x v="3"/>
    <x v="79"/>
    <n v="110773"/>
    <x v="4"/>
    <s v="Bharat Petroleum"/>
    <s v="Delhi"/>
    <s v="Online"/>
    <s v="Monday"/>
    <x v="0"/>
    <x v="0"/>
    <s v="Suspicious"/>
  </r>
  <r>
    <s v="T0341"/>
    <x v="2"/>
    <x v="113"/>
    <n v="115965"/>
    <x v="5"/>
    <s v="Dominos"/>
    <s v="Pune"/>
    <s v="Swipe"/>
    <s v="Thursday"/>
    <x v="0"/>
    <x v="0"/>
    <s v="Suspicious"/>
  </r>
  <r>
    <s v="T0342"/>
    <x v="10"/>
    <x v="8"/>
    <n v="52805"/>
    <x v="4"/>
    <s v="IndianOil"/>
    <s v="Hyderabad"/>
    <s v="Online"/>
    <s v="Saturday"/>
    <x v="1"/>
    <x v="0"/>
    <s v="Normal"/>
  </r>
  <r>
    <s v="T0343"/>
    <x v="15"/>
    <x v="112"/>
    <n v="9937"/>
    <x v="3"/>
    <s v="Ajio"/>
    <s v="Hyderabad"/>
    <s v="Swipe"/>
    <s v="Tuesday"/>
    <x v="0"/>
    <x v="1"/>
    <s v="Normal"/>
  </r>
  <r>
    <s v="T0344"/>
    <x v="5"/>
    <x v="12"/>
    <n v="81989"/>
    <x v="2"/>
    <s v="Electricity Board"/>
    <s v="Mumbai"/>
    <s v="Online"/>
    <s v="Monday"/>
    <x v="0"/>
    <x v="0"/>
    <s v="Suspicious"/>
  </r>
  <r>
    <s v="T0345"/>
    <x v="10"/>
    <x v="85"/>
    <n v="44744"/>
    <x v="4"/>
    <s v="Bharat Petroleum"/>
    <s v="Mumbai"/>
    <s v="Online"/>
    <s v="Thursday"/>
    <x v="0"/>
    <x v="1"/>
    <s v="Normal"/>
  </r>
  <r>
    <s v="T0346"/>
    <x v="20"/>
    <x v="27"/>
    <n v="65846"/>
    <x v="2"/>
    <s v="Electricity Board"/>
    <s v="Bangalore"/>
    <s v="Online"/>
    <s v="Wednesday"/>
    <x v="0"/>
    <x v="0"/>
    <s v="Normal"/>
  </r>
  <r>
    <s v="T0347"/>
    <x v="34"/>
    <x v="55"/>
    <n v="105677"/>
    <x v="1"/>
    <s v="IndiGo"/>
    <s v="Hyderabad"/>
    <s v="Swipe"/>
    <s v="Monday"/>
    <x v="0"/>
    <x v="0"/>
    <s v="Suspicious"/>
  </r>
  <r>
    <s v="T0348"/>
    <x v="3"/>
    <x v="66"/>
    <n v="67868"/>
    <x v="1"/>
    <s v="IRCTC"/>
    <s v="Delhi"/>
    <s v="Swipe"/>
    <s v="Wednesday"/>
    <x v="0"/>
    <x v="0"/>
    <s v="Normal"/>
  </r>
  <r>
    <s v="T0349"/>
    <x v="16"/>
    <x v="78"/>
    <n v="97204"/>
    <x v="1"/>
    <s v="IndiGo"/>
    <s v="Hyderabad"/>
    <s v="Swipe"/>
    <s v="Tuesday"/>
    <x v="0"/>
    <x v="0"/>
    <s v="Suspicious"/>
  </r>
  <r>
    <s v="T0350"/>
    <x v="20"/>
    <x v="14"/>
    <n v="64505"/>
    <x v="2"/>
    <s v="Water Board"/>
    <s v="Chennai"/>
    <s v="Online"/>
    <s v="Saturday"/>
    <x v="1"/>
    <x v="0"/>
    <s v="Normal"/>
  </r>
  <r>
    <s v="T0351"/>
    <x v="47"/>
    <x v="97"/>
    <n v="14666"/>
    <x v="3"/>
    <s v="Ajio"/>
    <s v="Hyderabad"/>
    <s v="Swipe"/>
    <s v="Wednesday"/>
    <x v="0"/>
    <x v="1"/>
    <s v="Normal"/>
  </r>
  <r>
    <s v="T0352"/>
    <x v="31"/>
    <x v="117"/>
    <n v="3792"/>
    <x v="0"/>
    <s v="Apple Store"/>
    <s v="Chennai"/>
    <s v="Swipe"/>
    <s v="Thursday"/>
    <x v="0"/>
    <x v="1"/>
    <s v="Normal"/>
  </r>
  <r>
    <s v="T0353"/>
    <x v="21"/>
    <x v="39"/>
    <n v="76011"/>
    <x v="0"/>
    <s v="Croma"/>
    <s v="Pune"/>
    <s v="Online"/>
    <s v="Friday"/>
    <x v="0"/>
    <x v="0"/>
    <s v="Suspicious"/>
  </r>
  <r>
    <s v="T0354"/>
    <x v="43"/>
    <x v="10"/>
    <n v="69012"/>
    <x v="2"/>
    <s v="Water Board"/>
    <s v="Mumbai"/>
    <s v="Online"/>
    <s v="Monday"/>
    <x v="0"/>
    <x v="0"/>
    <s v="Normal"/>
  </r>
  <r>
    <s v="T0355"/>
    <x v="23"/>
    <x v="84"/>
    <n v="14704"/>
    <x v="5"/>
    <s v="Zomato"/>
    <s v="Bangalore"/>
    <s v="Swipe"/>
    <s v="Saturday"/>
    <x v="1"/>
    <x v="1"/>
    <s v="Normal"/>
  </r>
  <r>
    <s v="T0356"/>
    <x v="29"/>
    <x v="4"/>
    <n v="54427"/>
    <x v="3"/>
    <s v="Flipkart"/>
    <s v="Chennai"/>
    <s v="Swipe"/>
    <s v="Saturday"/>
    <x v="1"/>
    <x v="0"/>
    <s v="Normal"/>
  </r>
  <r>
    <s v="T0357"/>
    <x v="7"/>
    <x v="29"/>
    <n v="92807"/>
    <x v="0"/>
    <s v="Croma"/>
    <s v="Hyderabad"/>
    <s v="Online"/>
    <s v="Monday"/>
    <x v="0"/>
    <x v="0"/>
    <s v="Suspicious"/>
  </r>
  <r>
    <s v="T0358"/>
    <x v="40"/>
    <x v="61"/>
    <n v="63001"/>
    <x v="2"/>
    <s v="Water Board"/>
    <s v="Delhi"/>
    <s v="Online"/>
    <s v="Monday"/>
    <x v="0"/>
    <x v="0"/>
    <s v="Normal"/>
  </r>
  <r>
    <s v="T0359"/>
    <x v="19"/>
    <x v="102"/>
    <n v="71901"/>
    <x v="4"/>
    <s v="Bharat Petroleum"/>
    <s v="Pune"/>
    <s v="Swipe"/>
    <s v="Tuesday"/>
    <x v="0"/>
    <x v="0"/>
    <s v="Normal"/>
  </r>
  <r>
    <s v="T0360"/>
    <x v="43"/>
    <x v="82"/>
    <n v="32611"/>
    <x v="2"/>
    <s v="Water Board"/>
    <s v="Hyderabad"/>
    <s v="Swipe"/>
    <s v="Thursday"/>
    <x v="0"/>
    <x v="1"/>
    <s v="Normal"/>
  </r>
  <r>
    <s v="T0361"/>
    <x v="25"/>
    <x v="54"/>
    <n v="38180"/>
    <x v="1"/>
    <s v="MakeMyTrip"/>
    <s v="Mumbai"/>
    <s v="Swipe"/>
    <s v="Monday"/>
    <x v="0"/>
    <x v="1"/>
    <s v="Normal"/>
  </r>
  <r>
    <s v="T0362"/>
    <x v="43"/>
    <x v="106"/>
    <n v="73764"/>
    <x v="3"/>
    <s v="Myntra"/>
    <s v="Delhi"/>
    <s v="Online"/>
    <s v="Wednesday"/>
    <x v="0"/>
    <x v="0"/>
    <s v="Normal"/>
  </r>
  <r>
    <s v="T0363"/>
    <x v="45"/>
    <x v="36"/>
    <n v="50067"/>
    <x v="2"/>
    <s v="Water Board"/>
    <s v="Delhi"/>
    <s v="Online"/>
    <s v="Sunday"/>
    <x v="1"/>
    <x v="0"/>
    <s v="Normal"/>
  </r>
  <r>
    <s v="T0364"/>
    <x v="38"/>
    <x v="112"/>
    <n v="93903"/>
    <x v="3"/>
    <s v="Amazon"/>
    <s v="Delhi"/>
    <s v="Swipe"/>
    <s v="Tuesday"/>
    <x v="0"/>
    <x v="0"/>
    <s v="Suspicious"/>
  </r>
  <r>
    <s v="T0365"/>
    <x v="18"/>
    <x v="45"/>
    <n v="63093"/>
    <x v="0"/>
    <s v="Croma"/>
    <s v="Mumbai"/>
    <s v="Swipe"/>
    <s v="Friday"/>
    <x v="0"/>
    <x v="0"/>
    <s v="Normal"/>
  </r>
  <r>
    <s v="T0366"/>
    <x v="31"/>
    <x v="89"/>
    <n v="18292"/>
    <x v="2"/>
    <s v="Electricity Board"/>
    <s v="Hyderabad"/>
    <s v="Online"/>
    <s v="Sunday"/>
    <x v="1"/>
    <x v="1"/>
    <s v="Normal"/>
  </r>
  <r>
    <s v="T0367"/>
    <x v="32"/>
    <x v="50"/>
    <n v="118944"/>
    <x v="1"/>
    <s v="MakeMyTrip"/>
    <s v="Mumbai"/>
    <s v="Online"/>
    <s v="Tuesday"/>
    <x v="0"/>
    <x v="0"/>
    <s v="Suspicious"/>
  </r>
  <r>
    <s v="T0368"/>
    <x v="6"/>
    <x v="86"/>
    <n v="43592"/>
    <x v="5"/>
    <s v="KFC"/>
    <s v="Bangalore"/>
    <s v="Online"/>
    <s v="Thursday"/>
    <x v="0"/>
    <x v="1"/>
    <s v="Normal"/>
  </r>
  <r>
    <s v="T0369"/>
    <x v="15"/>
    <x v="11"/>
    <n v="21001"/>
    <x v="5"/>
    <s v="KFC"/>
    <s v="Pune"/>
    <s v="Swipe"/>
    <s v="Sunday"/>
    <x v="1"/>
    <x v="1"/>
    <s v="Normal"/>
  </r>
  <r>
    <s v="T0370"/>
    <x v="14"/>
    <x v="53"/>
    <n v="99378"/>
    <x v="4"/>
    <s v="Bharat Petroleum"/>
    <s v="Delhi"/>
    <s v="Swipe"/>
    <s v="Friday"/>
    <x v="0"/>
    <x v="0"/>
    <s v="Suspicious"/>
  </r>
  <r>
    <s v="T0371"/>
    <x v="32"/>
    <x v="13"/>
    <n v="101058"/>
    <x v="0"/>
    <s v="Croma"/>
    <s v="Pune"/>
    <s v="Online"/>
    <s v="Friday"/>
    <x v="0"/>
    <x v="0"/>
    <s v="Suspicious"/>
  </r>
  <r>
    <s v="T0372"/>
    <x v="1"/>
    <x v="59"/>
    <n v="111754"/>
    <x v="2"/>
    <s v="Electricity Board"/>
    <s v="Mumbai"/>
    <s v="Swipe"/>
    <s v="Tuesday"/>
    <x v="0"/>
    <x v="0"/>
    <s v="Suspicious"/>
  </r>
  <r>
    <s v="T0373"/>
    <x v="38"/>
    <x v="72"/>
    <n v="52334"/>
    <x v="1"/>
    <s v="IndiGo"/>
    <s v="Mumbai"/>
    <s v="Swipe"/>
    <s v="Wednesday"/>
    <x v="0"/>
    <x v="0"/>
    <s v="Normal"/>
  </r>
  <r>
    <s v="T0374"/>
    <x v="44"/>
    <x v="42"/>
    <n v="74743"/>
    <x v="5"/>
    <s v="Swiggy"/>
    <s v="Delhi"/>
    <s v="Swipe"/>
    <s v="Thursday"/>
    <x v="0"/>
    <x v="0"/>
    <s v="Normal"/>
  </r>
  <r>
    <s v="T0375"/>
    <x v="14"/>
    <x v="36"/>
    <n v="69023"/>
    <x v="4"/>
    <s v="Bharat Petroleum"/>
    <s v="Mumbai"/>
    <s v="Swipe"/>
    <s v="Sunday"/>
    <x v="1"/>
    <x v="0"/>
    <s v="Normal"/>
  </r>
  <r>
    <s v="T0376"/>
    <x v="42"/>
    <x v="77"/>
    <n v="15064"/>
    <x v="3"/>
    <s v="Myntra"/>
    <s v="Mumbai"/>
    <s v="Swipe"/>
    <s v="Saturday"/>
    <x v="1"/>
    <x v="1"/>
    <s v="Normal"/>
  </r>
  <r>
    <s v="T0377"/>
    <x v="18"/>
    <x v="46"/>
    <n v="24705"/>
    <x v="0"/>
    <s v="Croma"/>
    <s v="Pune"/>
    <s v="Swipe"/>
    <s v="Monday"/>
    <x v="0"/>
    <x v="1"/>
    <s v="Normal"/>
  </r>
  <r>
    <s v="T0378"/>
    <x v="23"/>
    <x v="97"/>
    <n v="99558"/>
    <x v="3"/>
    <s v="Flipkart"/>
    <s v="Mumbai"/>
    <s v="Swipe"/>
    <s v="Wednesday"/>
    <x v="0"/>
    <x v="0"/>
    <s v="Suspicious"/>
  </r>
  <r>
    <s v="T0379"/>
    <x v="20"/>
    <x v="60"/>
    <n v="11668"/>
    <x v="4"/>
    <s v="Bharat Petroleum"/>
    <s v="Pune"/>
    <s v="Online"/>
    <s v="Sunday"/>
    <x v="1"/>
    <x v="1"/>
    <s v="Normal"/>
  </r>
  <r>
    <s v="T0380"/>
    <x v="48"/>
    <x v="71"/>
    <n v="42715"/>
    <x v="1"/>
    <s v="IRCTC"/>
    <s v="Bangalore"/>
    <s v="Swipe"/>
    <s v="Saturday"/>
    <x v="1"/>
    <x v="1"/>
    <s v="Normal"/>
  </r>
  <r>
    <s v="T0381"/>
    <x v="28"/>
    <x v="35"/>
    <n v="99096"/>
    <x v="4"/>
    <s v="Bharat Petroleum"/>
    <s v="Delhi"/>
    <s v="Swipe"/>
    <s v="Tuesday"/>
    <x v="0"/>
    <x v="0"/>
    <s v="Suspicious"/>
  </r>
  <r>
    <s v="T0382"/>
    <x v="7"/>
    <x v="31"/>
    <n v="1798"/>
    <x v="2"/>
    <s v="Water Board"/>
    <s v="Pune"/>
    <s v="Swipe"/>
    <s v="Thursday"/>
    <x v="0"/>
    <x v="1"/>
    <s v="Normal"/>
  </r>
  <r>
    <s v="T0383"/>
    <x v="28"/>
    <x v="29"/>
    <n v="87828"/>
    <x v="0"/>
    <s v="Croma"/>
    <s v="Chennai"/>
    <s v="Swipe"/>
    <s v="Monday"/>
    <x v="0"/>
    <x v="0"/>
    <s v="Suspicious"/>
  </r>
  <r>
    <s v="T0384"/>
    <x v="16"/>
    <x v="103"/>
    <n v="66166"/>
    <x v="1"/>
    <s v="MakeMyTrip"/>
    <s v="Delhi"/>
    <s v="Online"/>
    <s v="Thursday"/>
    <x v="0"/>
    <x v="0"/>
    <s v="Normal"/>
  </r>
  <r>
    <s v="T0385"/>
    <x v="8"/>
    <x v="95"/>
    <n v="80860"/>
    <x v="0"/>
    <s v="Croma"/>
    <s v="Mumbai"/>
    <s v="Online"/>
    <s v="Saturday"/>
    <x v="1"/>
    <x v="0"/>
    <s v="Suspicious"/>
  </r>
  <r>
    <s v="T0386"/>
    <x v="46"/>
    <x v="6"/>
    <n v="98307"/>
    <x v="4"/>
    <s v="Bharat Petroleum"/>
    <s v="Chennai"/>
    <s v="Swipe"/>
    <s v="Wednesday"/>
    <x v="0"/>
    <x v="0"/>
    <s v="Suspicious"/>
  </r>
  <r>
    <s v="T0387"/>
    <x v="33"/>
    <x v="12"/>
    <n v="28927"/>
    <x v="2"/>
    <s v="Electricity Board"/>
    <s v="Pune"/>
    <s v="Online"/>
    <s v="Monday"/>
    <x v="0"/>
    <x v="1"/>
    <s v="Normal"/>
  </r>
  <r>
    <s v="T0388"/>
    <x v="4"/>
    <x v="65"/>
    <n v="92544"/>
    <x v="2"/>
    <s v="Water Board"/>
    <s v="Bangalore"/>
    <s v="Online"/>
    <s v="Friday"/>
    <x v="0"/>
    <x v="0"/>
    <s v="Suspicious"/>
  </r>
  <r>
    <s v="T0389"/>
    <x v="15"/>
    <x v="49"/>
    <n v="66555"/>
    <x v="5"/>
    <s v="Zomato"/>
    <s v="Hyderabad"/>
    <s v="Online"/>
    <s v="Thursday"/>
    <x v="0"/>
    <x v="0"/>
    <s v="Normal"/>
  </r>
  <r>
    <s v="T0390"/>
    <x v="40"/>
    <x v="118"/>
    <n v="68502"/>
    <x v="1"/>
    <s v="IndiGo"/>
    <s v="Bangalore"/>
    <s v="Online"/>
    <s v="Friday"/>
    <x v="0"/>
    <x v="0"/>
    <s v="Normal"/>
  </r>
  <r>
    <s v="T0391"/>
    <x v="26"/>
    <x v="37"/>
    <n v="12219"/>
    <x v="0"/>
    <s v="Apple Store"/>
    <s v="Chennai"/>
    <s v="Online"/>
    <s v="Sunday"/>
    <x v="1"/>
    <x v="1"/>
    <s v="Normal"/>
  </r>
  <r>
    <s v="T0392"/>
    <x v="48"/>
    <x v="56"/>
    <n v="54750"/>
    <x v="4"/>
    <s v="Bharat Petroleum"/>
    <s v="Hyderabad"/>
    <s v="Online"/>
    <s v="Wednesday"/>
    <x v="0"/>
    <x v="0"/>
    <s v="Normal"/>
  </r>
  <r>
    <s v="T0393"/>
    <x v="27"/>
    <x v="97"/>
    <n v="106064"/>
    <x v="2"/>
    <s v="Water Board"/>
    <s v="Pune"/>
    <s v="Online"/>
    <s v="Wednesday"/>
    <x v="0"/>
    <x v="0"/>
    <s v="Suspicious"/>
  </r>
  <r>
    <s v="T0394"/>
    <x v="18"/>
    <x v="100"/>
    <n v="695"/>
    <x v="4"/>
    <s v="IndianOil"/>
    <s v="Hyderabad"/>
    <s v="Online"/>
    <s v="Sunday"/>
    <x v="1"/>
    <x v="1"/>
    <s v="Normal"/>
  </r>
  <r>
    <s v="T0395"/>
    <x v="2"/>
    <x v="106"/>
    <n v="92100"/>
    <x v="5"/>
    <s v="Swiggy"/>
    <s v="Hyderabad"/>
    <s v="Online"/>
    <s v="Wednesday"/>
    <x v="0"/>
    <x v="0"/>
    <s v="Suspicious"/>
  </r>
  <r>
    <s v="T0396"/>
    <x v="43"/>
    <x v="2"/>
    <n v="37929"/>
    <x v="5"/>
    <s v="KFC"/>
    <s v="Mumbai"/>
    <s v="Online"/>
    <s v="Friday"/>
    <x v="0"/>
    <x v="1"/>
    <s v="Normal"/>
  </r>
  <r>
    <s v="T0397"/>
    <x v="7"/>
    <x v="80"/>
    <n v="55397"/>
    <x v="0"/>
    <s v="Reliance Digital"/>
    <s v="Chennai"/>
    <s v="Swipe"/>
    <s v="Saturday"/>
    <x v="1"/>
    <x v="0"/>
    <s v="Normal"/>
  </r>
  <r>
    <s v="T0398"/>
    <x v="30"/>
    <x v="24"/>
    <n v="89786"/>
    <x v="4"/>
    <s v="IndianOil"/>
    <s v="Pune"/>
    <s v="Swipe"/>
    <s v="Thursday"/>
    <x v="0"/>
    <x v="0"/>
    <s v="Suspicious"/>
  </r>
  <r>
    <s v="T0399"/>
    <x v="39"/>
    <x v="14"/>
    <n v="51818"/>
    <x v="5"/>
    <s v="Zomato"/>
    <s v="Pune"/>
    <s v="Online"/>
    <s v="Saturday"/>
    <x v="1"/>
    <x v="0"/>
    <s v="Normal"/>
  </r>
  <r>
    <s v="T0400"/>
    <x v="17"/>
    <x v="116"/>
    <n v="39407"/>
    <x v="5"/>
    <s v="KFC"/>
    <s v="Pune"/>
    <s v="Swipe"/>
    <s v="Wednesday"/>
    <x v="0"/>
    <x v="1"/>
    <s v="Normal"/>
  </r>
  <r>
    <s v="T0401"/>
    <x v="30"/>
    <x v="12"/>
    <n v="30402"/>
    <x v="2"/>
    <s v="Electricity Board"/>
    <s v="Chennai"/>
    <s v="Swipe"/>
    <s v="Monday"/>
    <x v="0"/>
    <x v="1"/>
    <s v="Normal"/>
  </r>
  <r>
    <s v="T0402"/>
    <x v="5"/>
    <x v="82"/>
    <n v="115015"/>
    <x v="1"/>
    <s v="MakeMyTrip"/>
    <s v="Bangalore"/>
    <s v="Online"/>
    <s v="Thursday"/>
    <x v="0"/>
    <x v="0"/>
    <s v="Suspicious"/>
  </r>
  <r>
    <s v="T0403"/>
    <x v="29"/>
    <x v="78"/>
    <n v="100708"/>
    <x v="0"/>
    <s v="Croma"/>
    <s v="Mumbai"/>
    <s v="Online"/>
    <s v="Tuesday"/>
    <x v="0"/>
    <x v="0"/>
    <s v="Suspicious"/>
  </r>
  <r>
    <s v="T0404"/>
    <x v="6"/>
    <x v="17"/>
    <n v="4700"/>
    <x v="5"/>
    <s v="KFC"/>
    <s v="Hyderabad"/>
    <s v="Online"/>
    <s v="Sunday"/>
    <x v="1"/>
    <x v="1"/>
    <s v="Normal"/>
  </r>
  <r>
    <s v="T0405"/>
    <x v="1"/>
    <x v="8"/>
    <n v="53025"/>
    <x v="1"/>
    <s v="IndiGo"/>
    <s v="Mumbai"/>
    <s v="Online"/>
    <s v="Saturday"/>
    <x v="1"/>
    <x v="0"/>
    <s v="Normal"/>
  </r>
  <r>
    <s v="T0406"/>
    <x v="48"/>
    <x v="92"/>
    <n v="38214"/>
    <x v="5"/>
    <s v="Zomato"/>
    <s v="Pune"/>
    <s v="Swipe"/>
    <s v="Tuesday"/>
    <x v="0"/>
    <x v="1"/>
    <s v="Normal"/>
  </r>
  <r>
    <s v="T0407"/>
    <x v="3"/>
    <x v="54"/>
    <n v="88450"/>
    <x v="2"/>
    <s v="Water Board"/>
    <s v="Mumbai"/>
    <s v="Swipe"/>
    <s v="Monday"/>
    <x v="0"/>
    <x v="0"/>
    <s v="Suspicious"/>
  </r>
  <r>
    <s v="T0408"/>
    <x v="33"/>
    <x v="111"/>
    <n v="29272"/>
    <x v="1"/>
    <s v="IndiGo"/>
    <s v="Delhi"/>
    <s v="Swipe"/>
    <s v="Thursday"/>
    <x v="0"/>
    <x v="1"/>
    <s v="Normal"/>
  </r>
  <r>
    <s v="T0409"/>
    <x v="15"/>
    <x v="3"/>
    <n v="115605"/>
    <x v="5"/>
    <s v="Zomato"/>
    <s v="Pune"/>
    <s v="Swipe"/>
    <s v="Saturday"/>
    <x v="1"/>
    <x v="0"/>
    <s v="Suspicious"/>
  </r>
  <r>
    <s v="T0410"/>
    <x v="37"/>
    <x v="16"/>
    <n v="45443"/>
    <x v="2"/>
    <s v="Water Board"/>
    <s v="Hyderabad"/>
    <s v="Swipe"/>
    <s v="Sunday"/>
    <x v="1"/>
    <x v="1"/>
    <s v="Normal"/>
  </r>
  <r>
    <s v="T0411"/>
    <x v="29"/>
    <x v="86"/>
    <n v="19858"/>
    <x v="0"/>
    <s v="Reliance Digital"/>
    <s v="Chennai"/>
    <s v="Online"/>
    <s v="Thursday"/>
    <x v="0"/>
    <x v="1"/>
    <s v="Normal"/>
  </r>
  <r>
    <s v="T0412"/>
    <x v="43"/>
    <x v="30"/>
    <n v="111624"/>
    <x v="2"/>
    <s v="Electricity Board"/>
    <s v="Delhi"/>
    <s v="Online"/>
    <s v="Wednesday"/>
    <x v="0"/>
    <x v="0"/>
    <s v="Suspicious"/>
  </r>
  <r>
    <s v="T0413"/>
    <x v="32"/>
    <x v="104"/>
    <n v="54390"/>
    <x v="4"/>
    <s v="Bharat Petroleum"/>
    <s v="Hyderabad"/>
    <s v="Online"/>
    <s v="Tuesday"/>
    <x v="0"/>
    <x v="0"/>
    <s v="Normal"/>
  </r>
  <r>
    <s v="T0414"/>
    <x v="28"/>
    <x v="47"/>
    <n v="26951"/>
    <x v="4"/>
    <s v="Bharat Petroleum"/>
    <s v="Pune"/>
    <s v="Online"/>
    <s v="Friday"/>
    <x v="0"/>
    <x v="1"/>
    <s v="Normal"/>
  </r>
  <r>
    <s v="T0415"/>
    <x v="10"/>
    <x v="99"/>
    <n v="70506"/>
    <x v="4"/>
    <s v="IndianOil"/>
    <s v="Bangalore"/>
    <s v="Swipe"/>
    <s v="Friday"/>
    <x v="0"/>
    <x v="0"/>
    <s v="Normal"/>
  </r>
  <r>
    <s v="T0416"/>
    <x v="45"/>
    <x v="22"/>
    <n v="79326"/>
    <x v="4"/>
    <s v="IndianOil"/>
    <s v="Bangalore"/>
    <s v="Online"/>
    <s v="Monday"/>
    <x v="0"/>
    <x v="0"/>
    <s v="Suspicious"/>
  </r>
  <r>
    <s v="T0417"/>
    <x v="7"/>
    <x v="50"/>
    <n v="73549"/>
    <x v="2"/>
    <s v="Electricity Board"/>
    <s v="Chennai"/>
    <s v="Online"/>
    <s v="Tuesday"/>
    <x v="0"/>
    <x v="0"/>
    <s v="Normal"/>
  </r>
  <r>
    <s v="T0418"/>
    <x v="25"/>
    <x v="13"/>
    <n v="2309"/>
    <x v="3"/>
    <s v="Flipkart"/>
    <s v="Mumbai"/>
    <s v="Online"/>
    <s v="Friday"/>
    <x v="0"/>
    <x v="1"/>
    <s v="Normal"/>
  </r>
  <r>
    <s v="T0419"/>
    <x v="17"/>
    <x v="71"/>
    <n v="32097"/>
    <x v="0"/>
    <s v="Apple Store"/>
    <s v="Hyderabad"/>
    <s v="Online"/>
    <s v="Saturday"/>
    <x v="1"/>
    <x v="1"/>
    <s v="Normal"/>
  </r>
  <r>
    <s v="T0420"/>
    <x v="28"/>
    <x v="18"/>
    <n v="42454"/>
    <x v="4"/>
    <s v="Bharat Petroleum"/>
    <s v="Chennai"/>
    <s v="Swipe"/>
    <s v="Monday"/>
    <x v="0"/>
    <x v="1"/>
    <s v="Normal"/>
  </r>
  <r>
    <s v="T0421"/>
    <x v="14"/>
    <x v="5"/>
    <n v="40725"/>
    <x v="2"/>
    <s v="Water Board"/>
    <s v="Delhi"/>
    <s v="Swipe"/>
    <s v="Thursday"/>
    <x v="0"/>
    <x v="1"/>
    <s v="Normal"/>
  </r>
  <r>
    <s v="T0422"/>
    <x v="6"/>
    <x v="63"/>
    <n v="94988"/>
    <x v="4"/>
    <s v="Bharat Petroleum"/>
    <s v="Delhi"/>
    <s v="Online"/>
    <s v="Friday"/>
    <x v="0"/>
    <x v="0"/>
    <s v="Suspicious"/>
  </r>
  <r>
    <s v="T0423"/>
    <x v="40"/>
    <x v="86"/>
    <n v="6292"/>
    <x v="3"/>
    <s v="Flipkart"/>
    <s v="Pune"/>
    <s v="Online"/>
    <s v="Thursday"/>
    <x v="0"/>
    <x v="1"/>
    <s v="Normal"/>
  </r>
  <r>
    <s v="T0424"/>
    <x v="18"/>
    <x v="18"/>
    <n v="76850"/>
    <x v="5"/>
    <s v="KFC"/>
    <s v="Delhi"/>
    <s v="Online"/>
    <s v="Monday"/>
    <x v="0"/>
    <x v="0"/>
    <s v="Suspicious"/>
  </r>
  <r>
    <s v="T0425"/>
    <x v="47"/>
    <x v="87"/>
    <n v="50086"/>
    <x v="1"/>
    <s v="MakeMyTrip"/>
    <s v="Mumbai"/>
    <s v="Swipe"/>
    <s v="Tuesday"/>
    <x v="0"/>
    <x v="0"/>
    <s v="Normal"/>
  </r>
  <r>
    <s v="T0426"/>
    <x v="14"/>
    <x v="48"/>
    <n v="90064"/>
    <x v="2"/>
    <s v="Water Board"/>
    <s v="Delhi"/>
    <s v="Swipe"/>
    <s v="Tuesday"/>
    <x v="0"/>
    <x v="0"/>
    <s v="Suspicious"/>
  </r>
  <r>
    <s v="T0427"/>
    <x v="14"/>
    <x v="51"/>
    <n v="64603"/>
    <x v="0"/>
    <s v="Reliance Digital"/>
    <s v="Mumbai"/>
    <s v="Swipe"/>
    <s v="Thursday"/>
    <x v="0"/>
    <x v="0"/>
    <s v="Normal"/>
  </r>
  <r>
    <s v="T0428"/>
    <x v="48"/>
    <x v="59"/>
    <n v="71936"/>
    <x v="1"/>
    <s v="IndiGo"/>
    <s v="Mumbai"/>
    <s v="Online"/>
    <s v="Tuesday"/>
    <x v="0"/>
    <x v="0"/>
    <s v="Normal"/>
  </r>
  <r>
    <s v="T0429"/>
    <x v="38"/>
    <x v="72"/>
    <n v="111278"/>
    <x v="2"/>
    <s v="Electricity Board"/>
    <s v="Pune"/>
    <s v="Online"/>
    <s v="Wednesday"/>
    <x v="0"/>
    <x v="0"/>
    <s v="Suspicious"/>
  </r>
  <r>
    <s v="T0430"/>
    <x v="29"/>
    <x v="113"/>
    <n v="110734"/>
    <x v="5"/>
    <s v="Zomato"/>
    <s v="Bangalore"/>
    <s v="Online"/>
    <s v="Thursday"/>
    <x v="0"/>
    <x v="0"/>
    <s v="Suspicious"/>
  </r>
  <r>
    <s v="T0431"/>
    <x v="13"/>
    <x v="92"/>
    <n v="60070"/>
    <x v="5"/>
    <s v="Dominos"/>
    <s v="Bangalore"/>
    <s v="Swipe"/>
    <s v="Tuesday"/>
    <x v="0"/>
    <x v="0"/>
    <s v="Normal"/>
  </r>
  <r>
    <s v="T0432"/>
    <x v="37"/>
    <x v="116"/>
    <n v="1166"/>
    <x v="0"/>
    <s v="Apple Store"/>
    <s v="Hyderabad"/>
    <s v="Swipe"/>
    <s v="Wednesday"/>
    <x v="0"/>
    <x v="1"/>
    <s v="Normal"/>
  </r>
  <r>
    <s v="T0433"/>
    <x v="22"/>
    <x v="65"/>
    <n v="94959"/>
    <x v="5"/>
    <s v="Dominos"/>
    <s v="Hyderabad"/>
    <s v="Swipe"/>
    <s v="Friday"/>
    <x v="0"/>
    <x v="0"/>
    <s v="Suspicious"/>
  </r>
  <r>
    <s v="T0434"/>
    <x v="20"/>
    <x v="100"/>
    <n v="91769"/>
    <x v="5"/>
    <s v="KFC"/>
    <s v="Mumbai"/>
    <s v="Online"/>
    <s v="Sunday"/>
    <x v="1"/>
    <x v="0"/>
    <s v="Suspicious"/>
  </r>
  <r>
    <s v="T0435"/>
    <x v="24"/>
    <x v="4"/>
    <n v="31884"/>
    <x v="5"/>
    <s v="Zomato"/>
    <s v="Hyderabad"/>
    <s v="Swipe"/>
    <s v="Saturday"/>
    <x v="1"/>
    <x v="1"/>
    <s v="Normal"/>
  </r>
  <r>
    <s v="T0436"/>
    <x v="5"/>
    <x v="85"/>
    <n v="52322"/>
    <x v="3"/>
    <s v="Amazon"/>
    <s v="Delhi"/>
    <s v="Swipe"/>
    <s v="Thursday"/>
    <x v="0"/>
    <x v="0"/>
    <s v="Normal"/>
  </r>
  <r>
    <s v="T0437"/>
    <x v="23"/>
    <x v="40"/>
    <n v="91688"/>
    <x v="4"/>
    <s v="IndianOil"/>
    <s v="Delhi"/>
    <s v="Online"/>
    <s v="Thursday"/>
    <x v="0"/>
    <x v="0"/>
    <s v="Suspicious"/>
  </r>
  <r>
    <s v="T0438"/>
    <x v="14"/>
    <x v="94"/>
    <n v="4452"/>
    <x v="0"/>
    <s v="Croma"/>
    <s v="Chennai"/>
    <s v="Swipe"/>
    <s v="Sunday"/>
    <x v="1"/>
    <x v="1"/>
    <s v="Normal"/>
  </r>
  <r>
    <s v="T0439"/>
    <x v="15"/>
    <x v="74"/>
    <n v="7655"/>
    <x v="4"/>
    <s v="IndianOil"/>
    <s v="Pune"/>
    <s v="Online"/>
    <s v="Friday"/>
    <x v="0"/>
    <x v="1"/>
    <s v="Normal"/>
  </r>
  <r>
    <s v="T0440"/>
    <x v="37"/>
    <x v="101"/>
    <n v="57173"/>
    <x v="5"/>
    <s v="Dominos"/>
    <s v="Hyderabad"/>
    <s v="Online"/>
    <s v="Thursday"/>
    <x v="0"/>
    <x v="0"/>
    <s v="Normal"/>
  </r>
  <r>
    <s v="T0441"/>
    <x v="38"/>
    <x v="87"/>
    <n v="28010"/>
    <x v="2"/>
    <s v="Water Board"/>
    <s v="Delhi"/>
    <s v="Online"/>
    <s v="Tuesday"/>
    <x v="0"/>
    <x v="1"/>
    <s v="Normal"/>
  </r>
  <r>
    <s v="T0442"/>
    <x v="45"/>
    <x v="11"/>
    <n v="37049"/>
    <x v="5"/>
    <s v="Swiggy"/>
    <s v="Mumbai"/>
    <s v="Swipe"/>
    <s v="Sunday"/>
    <x v="1"/>
    <x v="1"/>
    <s v="Normal"/>
  </r>
  <r>
    <s v="T0443"/>
    <x v="13"/>
    <x v="3"/>
    <n v="19199"/>
    <x v="5"/>
    <s v="KFC"/>
    <s v="Bangalore"/>
    <s v="Swipe"/>
    <s v="Saturday"/>
    <x v="1"/>
    <x v="1"/>
    <s v="Normal"/>
  </r>
  <r>
    <s v="T0444"/>
    <x v="23"/>
    <x v="30"/>
    <n v="74577"/>
    <x v="1"/>
    <s v="IndiGo"/>
    <s v="Pune"/>
    <s v="Swipe"/>
    <s v="Wednesday"/>
    <x v="0"/>
    <x v="0"/>
    <s v="Normal"/>
  </r>
  <r>
    <s v="T0445"/>
    <x v="17"/>
    <x v="51"/>
    <n v="18643"/>
    <x v="4"/>
    <s v="IndianOil"/>
    <s v="Hyderabad"/>
    <s v="Swipe"/>
    <s v="Thursday"/>
    <x v="0"/>
    <x v="1"/>
    <s v="Normal"/>
  </r>
  <r>
    <s v="T0446"/>
    <x v="6"/>
    <x v="108"/>
    <n v="30727"/>
    <x v="5"/>
    <s v="Swiggy"/>
    <s v="Delhi"/>
    <s v="Swipe"/>
    <s v="Sunday"/>
    <x v="1"/>
    <x v="1"/>
    <s v="Normal"/>
  </r>
  <r>
    <s v="T0447"/>
    <x v="22"/>
    <x v="96"/>
    <n v="36125"/>
    <x v="3"/>
    <s v="Ajio"/>
    <s v="Chennai"/>
    <s v="Online"/>
    <s v="Friday"/>
    <x v="0"/>
    <x v="1"/>
    <s v="Normal"/>
  </r>
  <r>
    <s v="T0448"/>
    <x v="15"/>
    <x v="48"/>
    <n v="49507"/>
    <x v="3"/>
    <s v="Ajio"/>
    <s v="Mumbai"/>
    <s v="Swipe"/>
    <s v="Tuesday"/>
    <x v="0"/>
    <x v="1"/>
    <s v="Normal"/>
  </r>
  <r>
    <s v="T0449"/>
    <x v="21"/>
    <x v="76"/>
    <n v="39015"/>
    <x v="5"/>
    <s v="Zomato"/>
    <s v="Pune"/>
    <s v="Online"/>
    <s v="Wednesday"/>
    <x v="0"/>
    <x v="1"/>
    <s v="Normal"/>
  </r>
  <r>
    <s v="T0450"/>
    <x v="5"/>
    <x v="4"/>
    <n v="50107"/>
    <x v="5"/>
    <s v="Zomato"/>
    <s v="Pune"/>
    <s v="Swipe"/>
    <s v="Saturday"/>
    <x v="1"/>
    <x v="0"/>
    <s v="Normal"/>
  </r>
  <r>
    <s v="T0451"/>
    <x v="10"/>
    <x v="1"/>
    <n v="12295"/>
    <x v="3"/>
    <s v="Amazon"/>
    <s v="Delhi"/>
    <s v="Swipe"/>
    <s v="Sunday"/>
    <x v="1"/>
    <x v="1"/>
    <s v="Normal"/>
  </r>
  <r>
    <s v="T0452"/>
    <x v="17"/>
    <x v="89"/>
    <n v="13699"/>
    <x v="3"/>
    <s v="Flipkart"/>
    <s v="Bangalore"/>
    <s v="Online"/>
    <s v="Sunday"/>
    <x v="1"/>
    <x v="1"/>
    <s v="Normal"/>
  </r>
  <r>
    <s v="T0453"/>
    <x v="4"/>
    <x v="104"/>
    <n v="73010"/>
    <x v="4"/>
    <s v="Bharat Petroleum"/>
    <s v="Bangalore"/>
    <s v="Online"/>
    <s v="Tuesday"/>
    <x v="0"/>
    <x v="0"/>
    <s v="Normal"/>
  </r>
  <r>
    <s v="T0454"/>
    <x v="49"/>
    <x v="18"/>
    <n v="12498"/>
    <x v="5"/>
    <s v="Dominos"/>
    <s v="Chennai"/>
    <s v="Online"/>
    <s v="Monday"/>
    <x v="0"/>
    <x v="1"/>
    <s v="Normal"/>
  </r>
  <r>
    <s v="T0455"/>
    <x v="29"/>
    <x v="70"/>
    <n v="102427"/>
    <x v="3"/>
    <s v="Amazon"/>
    <s v="Pune"/>
    <s v="Online"/>
    <s v="Monday"/>
    <x v="0"/>
    <x v="0"/>
    <s v="Suspicious"/>
  </r>
  <r>
    <s v="T0456"/>
    <x v="24"/>
    <x v="10"/>
    <n v="90125"/>
    <x v="2"/>
    <s v="Water Board"/>
    <s v="Mumbai"/>
    <s v="Online"/>
    <s v="Monday"/>
    <x v="0"/>
    <x v="0"/>
    <s v="Suspicious"/>
  </r>
  <r>
    <s v="T0457"/>
    <x v="25"/>
    <x v="89"/>
    <n v="64934"/>
    <x v="3"/>
    <s v="Flipkart"/>
    <s v="Bangalore"/>
    <s v="Online"/>
    <s v="Sunday"/>
    <x v="1"/>
    <x v="0"/>
    <s v="Normal"/>
  </r>
  <r>
    <s v="T0458"/>
    <x v="5"/>
    <x v="98"/>
    <n v="39589"/>
    <x v="4"/>
    <s v="Bharat Petroleum"/>
    <s v="Bangalore"/>
    <s v="Swipe"/>
    <s v="Friday"/>
    <x v="0"/>
    <x v="1"/>
    <s v="Normal"/>
  </r>
  <r>
    <s v="T0459"/>
    <x v="28"/>
    <x v="59"/>
    <n v="82224"/>
    <x v="3"/>
    <s v="Ajio"/>
    <s v="Hyderabad"/>
    <s v="Online"/>
    <s v="Tuesday"/>
    <x v="0"/>
    <x v="0"/>
    <s v="Suspicious"/>
  </r>
  <r>
    <s v="T0460"/>
    <x v="6"/>
    <x v="113"/>
    <n v="40232"/>
    <x v="4"/>
    <s v="IndianOil"/>
    <s v="Chennai"/>
    <s v="Swipe"/>
    <s v="Thursday"/>
    <x v="0"/>
    <x v="1"/>
    <s v="Normal"/>
  </r>
  <r>
    <s v="T0461"/>
    <x v="30"/>
    <x v="63"/>
    <n v="113310"/>
    <x v="2"/>
    <s v="Water Board"/>
    <s v="Chennai"/>
    <s v="Swipe"/>
    <s v="Friday"/>
    <x v="0"/>
    <x v="0"/>
    <s v="Suspicious"/>
  </r>
  <r>
    <s v="T0462"/>
    <x v="14"/>
    <x v="17"/>
    <n v="18142"/>
    <x v="4"/>
    <s v="Bharat Petroleum"/>
    <s v="Delhi"/>
    <s v="Online"/>
    <s v="Sunday"/>
    <x v="1"/>
    <x v="1"/>
    <s v="Normal"/>
  </r>
  <r>
    <s v="T0463"/>
    <x v="40"/>
    <x v="21"/>
    <n v="52498"/>
    <x v="4"/>
    <s v="Bharat Petroleum"/>
    <s v="Delhi"/>
    <s v="Swipe"/>
    <s v="Tuesday"/>
    <x v="0"/>
    <x v="0"/>
    <s v="Normal"/>
  </r>
  <r>
    <s v="T0464"/>
    <x v="28"/>
    <x v="60"/>
    <n v="49590"/>
    <x v="2"/>
    <s v="Water Board"/>
    <s v="Chennai"/>
    <s v="Swipe"/>
    <s v="Sunday"/>
    <x v="1"/>
    <x v="1"/>
    <s v="Normal"/>
  </r>
  <r>
    <s v="T0465"/>
    <x v="23"/>
    <x v="53"/>
    <n v="77924"/>
    <x v="5"/>
    <s v="Zomato"/>
    <s v="Pune"/>
    <s v="Online"/>
    <s v="Friday"/>
    <x v="0"/>
    <x v="0"/>
    <s v="Suspicious"/>
  </r>
  <r>
    <s v="T0466"/>
    <x v="27"/>
    <x v="48"/>
    <n v="93147"/>
    <x v="0"/>
    <s v="Croma"/>
    <s v="Chennai"/>
    <s v="Swipe"/>
    <s v="Tuesday"/>
    <x v="0"/>
    <x v="0"/>
    <s v="Suspicious"/>
  </r>
  <r>
    <s v="T0467"/>
    <x v="9"/>
    <x v="100"/>
    <n v="111421"/>
    <x v="0"/>
    <s v="Reliance Digital"/>
    <s v="Pune"/>
    <s v="Swipe"/>
    <s v="Sunday"/>
    <x v="1"/>
    <x v="0"/>
    <s v="Suspicious"/>
  </r>
  <r>
    <s v="T0468"/>
    <x v="11"/>
    <x v="42"/>
    <n v="32022"/>
    <x v="1"/>
    <s v="IndiGo"/>
    <s v="Pune"/>
    <s v="Online"/>
    <s v="Thursday"/>
    <x v="0"/>
    <x v="1"/>
    <s v="Normal"/>
  </r>
  <r>
    <s v="T0469"/>
    <x v="2"/>
    <x v="85"/>
    <n v="49712"/>
    <x v="0"/>
    <s v="Croma"/>
    <s v="Chennai"/>
    <s v="Swipe"/>
    <s v="Thursday"/>
    <x v="0"/>
    <x v="1"/>
    <s v="Normal"/>
  </r>
  <r>
    <s v="T0470"/>
    <x v="16"/>
    <x v="14"/>
    <n v="66702"/>
    <x v="2"/>
    <s v="Water Board"/>
    <s v="Hyderabad"/>
    <s v="Online"/>
    <s v="Saturday"/>
    <x v="1"/>
    <x v="0"/>
    <s v="Normal"/>
  </r>
  <r>
    <s v="T0471"/>
    <x v="31"/>
    <x v="66"/>
    <n v="106769"/>
    <x v="3"/>
    <s v="Amazon"/>
    <s v="Bangalore"/>
    <s v="Online"/>
    <s v="Wednesday"/>
    <x v="0"/>
    <x v="0"/>
    <s v="Suspicious"/>
  </r>
  <r>
    <s v="T0472"/>
    <x v="33"/>
    <x v="5"/>
    <n v="22102"/>
    <x v="0"/>
    <s v="Apple Store"/>
    <s v="Hyderabad"/>
    <s v="Online"/>
    <s v="Thursday"/>
    <x v="0"/>
    <x v="1"/>
    <s v="Normal"/>
  </r>
  <r>
    <s v="T0473"/>
    <x v="14"/>
    <x v="97"/>
    <n v="85069"/>
    <x v="2"/>
    <s v="Water Board"/>
    <s v="Delhi"/>
    <s v="Swipe"/>
    <s v="Wednesday"/>
    <x v="0"/>
    <x v="0"/>
    <s v="Suspicious"/>
  </r>
  <r>
    <s v="T0474"/>
    <x v="44"/>
    <x v="32"/>
    <n v="34213"/>
    <x v="5"/>
    <s v="Zomato"/>
    <s v="Hyderabad"/>
    <s v="Online"/>
    <s v="Saturday"/>
    <x v="1"/>
    <x v="1"/>
    <s v="Normal"/>
  </r>
  <r>
    <s v="T0475"/>
    <x v="10"/>
    <x v="93"/>
    <n v="60994"/>
    <x v="4"/>
    <s v="IndianOil"/>
    <s v="Delhi"/>
    <s v="Online"/>
    <s v="Tuesday"/>
    <x v="0"/>
    <x v="0"/>
    <s v="Normal"/>
  </r>
  <r>
    <s v="T0476"/>
    <x v="6"/>
    <x v="83"/>
    <n v="54822"/>
    <x v="4"/>
    <s v="IndianOil"/>
    <s v="Bangalore"/>
    <s v="Online"/>
    <s v="Wednesday"/>
    <x v="0"/>
    <x v="0"/>
    <s v="Normal"/>
  </r>
  <r>
    <s v="T0477"/>
    <x v="25"/>
    <x v="102"/>
    <n v="59981"/>
    <x v="3"/>
    <s v="Flipkart"/>
    <s v="Hyderabad"/>
    <s v="Swipe"/>
    <s v="Tuesday"/>
    <x v="0"/>
    <x v="0"/>
    <s v="Normal"/>
  </r>
  <r>
    <s v="T0478"/>
    <x v="43"/>
    <x v="32"/>
    <n v="57731"/>
    <x v="3"/>
    <s v="Ajio"/>
    <s v="Delhi"/>
    <s v="Online"/>
    <s v="Saturday"/>
    <x v="1"/>
    <x v="0"/>
    <s v="Normal"/>
  </r>
  <r>
    <s v="T0479"/>
    <x v="38"/>
    <x v="77"/>
    <n v="93463"/>
    <x v="3"/>
    <s v="Amazon"/>
    <s v="Bangalore"/>
    <s v="Swipe"/>
    <s v="Saturday"/>
    <x v="1"/>
    <x v="0"/>
    <s v="Suspicious"/>
  </r>
  <r>
    <s v="T0480"/>
    <x v="6"/>
    <x v="97"/>
    <n v="105164"/>
    <x v="0"/>
    <s v="Croma"/>
    <s v="Pune"/>
    <s v="Online"/>
    <s v="Wednesday"/>
    <x v="0"/>
    <x v="0"/>
    <s v="Suspicious"/>
  </r>
  <r>
    <s v="T0481"/>
    <x v="39"/>
    <x v="18"/>
    <n v="21289"/>
    <x v="2"/>
    <s v="Water Board"/>
    <s v="Hyderabad"/>
    <s v="Swipe"/>
    <s v="Monday"/>
    <x v="0"/>
    <x v="1"/>
    <s v="Normal"/>
  </r>
  <r>
    <s v="T0482"/>
    <x v="12"/>
    <x v="63"/>
    <n v="53390"/>
    <x v="4"/>
    <s v="IndianOil"/>
    <s v="Mumbai"/>
    <s v="Swipe"/>
    <s v="Friday"/>
    <x v="0"/>
    <x v="0"/>
    <s v="Normal"/>
  </r>
  <r>
    <s v="T0483"/>
    <x v="22"/>
    <x v="51"/>
    <n v="80792"/>
    <x v="4"/>
    <s v="IndianOil"/>
    <s v="Chennai"/>
    <s v="Swipe"/>
    <s v="Thursday"/>
    <x v="0"/>
    <x v="0"/>
    <s v="Suspicious"/>
  </r>
  <r>
    <s v="T0484"/>
    <x v="44"/>
    <x v="57"/>
    <n v="28453"/>
    <x v="4"/>
    <s v="IndianOil"/>
    <s v="Delhi"/>
    <s v="Online"/>
    <s v="Sunday"/>
    <x v="1"/>
    <x v="1"/>
    <s v="Normal"/>
  </r>
  <r>
    <s v="T0485"/>
    <x v="6"/>
    <x v="63"/>
    <n v="114592"/>
    <x v="2"/>
    <s v="Electricity Board"/>
    <s v="Delhi"/>
    <s v="Swipe"/>
    <s v="Friday"/>
    <x v="0"/>
    <x v="0"/>
    <s v="Suspicious"/>
  </r>
  <r>
    <s v="T0486"/>
    <x v="27"/>
    <x v="23"/>
    <n v="34687"/>
    <x v="1"/>
    <s v="MakeMyTrip"/>
    <s v="Chennai"/>
    <s v="Swipe"/>
    <s v="Monday"/>
    <x v="0"/>
    <x v="1"/>
    <s v="Normal"/>
  </r>
  <r>
    <s v="T0487"/>
    <x v="30"/>
    <x v="78"/>
    <n v="51751"/>
    <x v="2"/>
    <s v="Electricity Board"/>
    <s v="Delhi"/>
    <s v="Swipe"/>
    <s v="Tuesday"/>
    <x v="0"/>
    <x v="0"/>
    <s v="Normal"/>
  </r>
  <r>
    <s v="T0488"/>
    <x v="35"/>
    <x v="21"/>
    <n v="106958"/>
    <x v="4"/>
    <s v="Bharat Petroleum"/>
    <s v="Hyderabad"/>
    <s v="Online"/>
    <s v="Tuesday"/>
    <x v="0"/>
    <x v="0"/>
    <s v="Suspicious"/>
  </r>
  <r>
    <s v="T0489"/>
    <x v="48"/>
    <x v="41"/>
    <n v="15748"/>
    <x v="0"/>
    <s v="Croma"/>
    <s v="Delhi"/>
    <s v="Online"/>
    <s v="Saturday"/>
    <x v="1"/>
    <x v="1"/>
    <s v="Normal"/>
  </r>
  <r>
    <s v="T0490"/>
    <x v="10"/>
    <x v="69"/>
    <n v="18828"/>
    <x v="1"/>
    <s v="MakeMyTrip"/>
    <s v="Chennai"/>
    <s v="Swipe"/>
    <s v="Friday"/>
    <x v="0"/>
    <x v="1"/>
    <s v="Normal"/>
  </r>
  <r>
    <s v="T0491"/>
    <x v="48"/>
    <x v="31"/>
    <n v="50593"/>
    <x v="2"/>
    <s v="Water Board"/>
    <s v="Mumbai"/>
    <s v="Swipe"/>
    <s v="Thursday"/>
    <x v="0"/>
    <x v="0"/>
    <s v="Normal"/>
  </r>
  <r>
    <s v="T0492"/>
    <x v="19"/>
    <x v="69"/>
    <n v="84875"/>
    <x v="0"/>
    <s v="Croma"/>
    <s v="Hyderabad"/>
    <s v="Online"/>
    <s v="Friday"/>
    <x v="0"/>
    <x v="0"/>
    <s v="Suspicious"/>
  </r>
  <r>
    <s v="T0493"/>
    <x v="8"/>
    <x v="113"/>
    <n v="24823"/>
    <x v="4"/>
    <s v="Bharat Petroleum"/>
    <s v="Chennai"/>
    <s v="Online"/>
    <s v="Thursday"/>
    <x v="0"/>
    <x v="1"/>
    <s v="Normal"/>
  </r>
  <r>
    <s v="T0494"/>
    <x v="44"/>
    <x v="37"/>
    <n v="18195"/>
    <x v="3"/>
    <s v="Flipkart"/>
    <s v="Chennai"/>
    <s v="Swipe"/>
    <s v="Sunday"/>
    <x v="1"/>
    <x v="1"/>
    <s v="Normal"/>
  </r>
  <r>
    <s v="T0495"/>
    <x v="45"/>
    <x v="37"/>
    <n v="54777"/>
    <x v="4"/>
    <s v="Bharat Petroleum"/>
    <s v="Chennai"/>
    <s v="Online"/>
    <s v="Sunday"/>
    <x v="1"/>
    <x v="0"/>
    <s v="Normal"/>
  </r>
  <r>
    <s v="T0496"/>
    <x v="23"/>
    <x v="0"/>
    <n v="104617"/>
    <x v="5"/>
    <s v="Zomato"/>
    <s v="Delhi"/>
    <s v="Online"/>
    <s v="Thursday"/>
    <x v="0"/>
    <x v="0"/>
    <s v="Suspicious"/>
  </r>
  <r>
    <s v="T0497"/>
    <x v="12"/>
    <x v="14"/>
    <n v="38136"/>
    <x v="3"/>
    <s v="Flipkart"/>
    <s v="Chennai"/>
    <s v="Swipe"/>
    <s v="Saturday"/>
    <x v="1"/>
    <x v="1"/>
    <s v="Normal"/>
  </r>
  <r>
    <s v="T0498"/>
    <x v="20"/>
    <x v="23"/>
    <n v="75366"/>
    <x v="2"/>
    <s v="Electricity Board"/>
    <s v="Delhi"/>
    <s v="Swipe"/>
    <s v="Monday"/>
    <x v="0"/>
    <x v="0"/>
    <s v="Suspicious"/>
  </r>
  <r>
    <s v="T0499"/>
    <x v="17"/>
    <x v="8"/>
    <n v="99915"/>
    <x v="2"/>
    <s v="Water Board"/>
    <s v="Hyderabad"/>
    <s v="Online"/>
    <s v="Saturday"/>
    <x v="1"/>
    <x v="0"/>
    <s v="Suspicious"/>
  </r>
  <r>
    <s v="T0500"/>
    <x v="6"/>
    <x v="51"/>
    <n v="109099"/>
    <x v="4"/>
    <s v="IndianOil"/>
    <s v="Delhi"/>
    <s v="Online"/>
    <s v="Thursday"/>
    <x v="0"/>
    <x v="0"/>
    <s v="Suspicio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69530-CBF2-4B1C-B69A-A68F53B132A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3">
    <pivotField showAll="0"/>
    <pivotField showAll="0"/>
    <pivotField numFmtId="14" showAll="0">
      <items count="120">
        <item x="38"/>
        <item x="116"/>
        <item x="0"/>
        <item x="2"/>
        <item x="8"/>
        <item x="16"/>
        <item x="29"/>
        <item x="58"/>
        <item x="68"/>
        <item x="24"/>
        <item x="99"/>
        <item x="32"/>
        <item x="1"/>
        <item x="23"/>
        <item x="28"/>
        <item x="25"/>
        <item x="113"/>
        <item x="109"/>
        <item x="4"/>
        <item x="20"/>
        <item x="10"/>
        <item x="21"/>
        <item x="73"/>
        <item x="82"/>
        <item x="53"/>
        <item x="114"/>
        <item x="107"/>
        <item x="81"/>
        <item x="87"/>
        <item x="30"/>
        <item x="40"/>
        <item x="47"/>
        <item x="89"/>
        <item x="67"/>
        <item x="112"/>
        <item x="83"/>
        <item x="42"/>
        <item x="90"/>
        <item x="41"/>
        <item x="60"/>
        <item x="55"/>
        <item x="102"/>
        <item x="106"/>
        <item x="5"/>
        <item x="15"/>
        <item x="95"/>
        <item x="9"/>
        <item x="70"/>
        <item x="93"/>
        <item x="27"/>
        <item x="86"/>
        <item x="98"/>
        <item x="105"/>
        <item x="108"/>
        <item x="44"/>
        <item x="35"/>
        <item x="6"/>
        <item x="115"/>
        <item x="74"/>
        <item x="71"/>
        <item x="37"/>
        <item x="88"/>
        <item x="92"/>
        <item x="56"/>
        <item x="111"/>
        <item x="65"/>
        <item x="14"/>
        <item x="36"/>
        <item x="18"/>
        <item x="104"/>
        <item x="43"/>
        <item x="31"/>
        <item x="39"/>
        <item x="3"/>
        <item x="17"/>
        <item x="22"/>
        <item x="78"/>
        <item x="76"/>
        <item x="117"/>
        <item x="96"/>
        <item x="80"/>
        <item x="110"/>
        <item x="61"/>
        <item x="50"/>
        <item x="97"/>
        <item x="103"/>
        <item x="69"/>
        <item x="84"/>
        <item x="57"/>
        <item x="46"/>
        <item x="59"/>
        <item x="34"/>
        <item x="51"/>
        <item x="45"/>
        <item x="19"/>
        <item x="94"/>
        <item x="54"/>
        <item x="75"/>
        <item x="52"/>
        <item x="85"/>
        <item x="63"/>
        <item x="77"/>
        <item x="100"/>
        <item x="12"/>
        <item x="7"/>
        <item x="72"/>
        <item x="101"/>
        <item x="118"/>
        <item x="33"/>
        <item x="26"/>
        <item x="79"/>
        <item x="62"/>
        <item x="66"/>
        <item x="49"/>
        <item x="13"/>
        <item x="64"/>
        <item x="11"/>
        <item x="91"/>
        <item x="4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6C57B-BFD9-44DC-8750-82E13A7B0B5E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0" firstHeaderRow="1" firstDataRow="1" firstDataCol="1"/>
  <pivotFields count="13">
    <pivotField showAll="0"/>
    <pivotField showAll="0"/>
    <pivotField numFmtId="14" showAll="0">
      <items count="120">
        <item x="38"/>
        <item x="116"/>
        <item x="0"/>
        <item x="2"/>
        <item x="8"/>
        <item x="16"/>
        <item x="29"/>
        <item x="58"/>
        <item x="68"/>
        <item x="24"/>
        <item x="99"/>
        <item x="32"/>
        <item x="1"/>
        <item x="23"/>
        <item x="28"/>
        <item x="25"/>
        <item x="113"/>
        <item x="109"/>
        <item x="4"/>
        <item x="20"/>
        <item x="10"/>
        <item x="21"/>
        <item x="73"/>
        <item x="82"/>
        <item x="53"/>
        <item x="114"/>
        <item x="107"/>
        <item x="81"/>
        <item x="87"/>
        <item x="30"/>
        <item x="40"/>
        <item x="47"/>
        <item x="89"/>
        <item x="67"/>
        <item x="112"/>
        <item x="83"/>
        <item x="42"/>
        <item x="90"/>
        <item x="41"/>
        <item x="60"/>
        <item x="55"/>
        <item x="102"/>
        <item x="106"/>
        <item x="5"/>
        <item x="15"/>
        <item x="95"/>
        <item x="9"/>
        <item x="70"/>
        <item x="93"/>
        <item x="27"/>
        <item x="86"/>
        <item x="98"/>
        <item x="105"/>
        <item x="108"/>
        <item x="44"/>
        <item x="35"/>
        <item x="6"/>
        <item x="115"/>
        <item x="74"/>
        <item x="71"/>
        <item x="37"/>
        <item x="88"/>
        <item x="92"/>
        <item x="56"/>
        <item x="111"/>
        <item x="65"/>
        <item x="14"/>
        <item x="36"/>
        <item x="18"/>
        <item x="104"/>
        <item x="43"/>
        <item x="31"/>
        <item x="39"/>
        <item x="3"/>
        <item x="17"/>
        <item x="22"/>
        <item x="78"/>
        <item x="76"/>
        <item x="117"/>
        <item x="96"/>
        <item x="80"/>
        <item x="110"/>
        <item x="61"/>
        <item x="50"/>
        <item x="97"/>
        <item x="103"/>
        <item x="69"/>
        <item x="84"/>
        <item x="57"/>
        <item x="46"/>
        <item x="59"/>
        <item x="34"/>
        <item x="51"/>
        <item x="45"/>
        <item x="19"/>
        <item x="94"/>
        <item x="54"/>
        <item x="75"/>
        <item x="52"/>
        <item x="85"/>
        <item x="63"/>
        <item x="77"/>
        <item x="100"/>
        <item x="12"/>
        <item x="7"/>
        <item x="72"/>
        <item x="101"/>
        <item x="118"/>
        <item x="33"/>
        <item x="26"/>
        <item x="79"/>
        <item x="62"/>
        <item x="66"/>
        <item x="49"/>
        <item x="13"/>
        <item x="64"/>
        <item x="11"/>
        <item x="91"/>
        <item x="48"/>
        <item t="default"/>
      </items>
    </pivotField>
    <pivotField dataField="1" showAll="0"/>
    <pivotField axis="axisRow" showAll="0" sortType="ascending">
      <items count="7">
        <item x="2"/>
        <item x="0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7">
    <i>
      <x v="4"/>
    </i>
    <i>
      <x v="5"/>
    </i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Amount" fld="3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AF928-7275-4198-9563-7D261A8FA74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4" firstHeaderRow="1" firstDataRow="1" firstDataCol="1" rowPageCount="1" colPageCount="1"/>
  <pivotFields count="13">
    <pivotField showAll="0"/>
    <pivotField axis="axisRow" showAll="0" measureFilter="1" sortType="descending">
      <items count="51">
        <item x="44"/>
        <item x="22"/>
        <item x="38"/>
        <item x="32"/>
        <item x="9"/>
        <item x="41"/>
        <item x="6"/>
        <item x="0"/>
        <item x="48"/>
        <item x="46"/>
        <item x="36"/>
        <item x="39"/>
        <item x="42"/>
        <item x="13"/>
        <item x="12"/>
        <item x="28"/>
        <item x="18"/>
        <item x="5"/>
        <item x="8"/>
        <item x="25"/>
        <item x="40"/>
        <item x="47"/>
        <item x="49"/>
        <item x="10"/>
        <item x="30"/>
        <item x="16"/>
        <item x="29"/>
        <item x="2"/>
        <item x="4"/>
        <item x="27"/>
        <item x="43"/>
        <item x="37"/>
        <item x="20"/>
        <item x="24"/>
        <item x="19"/>
        <item x="15"/>
        <item x="23"/>
        <item x="26"/>
        <item x="3"/>
        <item x="35"/>
        <item x="11"/>
        <item x="14"/>
        <item x="33"/>
        <item x="45"/>
        <item x="31"/>
        <item x="34"/>
        <item x="7"/>
        <item x="1"/>
        <item x="17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20">
        <item x="38"/>
        <item x="116"/>
        <item x="0"/>
        <item x="2"/>
        <item x="8"/>
        <item x="16"/>
        <item x="29"/>
        <item x="58"/>
        <item x="68"/>
        <item x="24"/>
        <item x="99"/>
        <item x="32"/>
        <item x="1"/>
        <item x="23"/>
        <item x="28"/>
        <item x="25"/>
        <item x="113"/>
        <item x="109"/>
        <item x="4"/>
        <item x="20"/>
        <item x="10"/>
        <item x="21"/>
        <item x="73"/>
        <item x="82"/>
        <item x="53"/>
        <item x="114"/>
        <item x="107"/>
        <item x="81"/>
        <item x="87"/>
        <item x="30"/>
        <item x="40"/>
        <item x="47"/>
        <item x="89"/>
        <item x="67"/>
        <item x="112"/>
        <item x="83"/>
        <item x="42"/>
        <item x="90"/>
        <item x="41"/>
        <item x="60"/>
        <item x="55"/>
        <item x="102"/>
        <item x="106"/>
        <item x="5"/>
        <item x="15"/>
        <item x="95"/>
        <item x="9"/>
        <item x="70"/>
        <item x="93"/>
        <item x="27"/>
        <item x="86"/>
        <item x="98"/>
        <item x="105"/>
        <item x="108"/>
        <item x="44"/>
        <item x="35"/>
        <item x="6"/>
        <item x="115"/>
        <item x="74"/>
        <item x="71"/>
        <item x="37"/>
        <item x="88"/>
        <item x="92"/>
        <item x="56"/>
        <item x="111"/>
        <item x="65"/>
        <item x="14"/>
        <item x="36"/>
        <item x="18"/>
        <item x="104"/>
        <item x="43"/>
        <item x="31"/>
        <item x="39"/>
        <item x="3"/>
        <item x="17"/>
        <item x="22"/>
        <item x="78"/>
        <item x="76"/>
        <item x="117"/>
        <item x="96"/>
        <item x="80"/>
        <item x="110"/>
        <item x="61"/>
        <item x="50"/>
        <item x="97"/>
        <item x="103"/>
        <item x="69"/>
        <item x="84"/>
        <item x="57"/>
        <item x="46"/>
        <item x="59"/>
        <item x="34"/>
        <item x="51"/>
        <item x="45"/>
        <item x="19"/>
        <item x="94"/>
        <item x="54"/>
        <item x="75"/>
        <item x="52"/>
        <item x="85"/>
        <item x="63"/>
        <item x="77"/>
        <item x="100"/>
        <item x="12"/>
        <item x="7"/>
        <item x="72"/>
        <item x="101"/>
        <item x="118"/>
        <item x="33"/>
        <item x="26"/>
        <item x="79"/>
        <item x="62"/>
        <item x="66"/>
        <item x="49"/>
        <item x="13"/>
        <item x="64"/>
        <item x="11"/>
        <item x="91"/>
        <item x="4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 v="6"/>
    </i>
    <i>
      <x v="26"/>
    </i>
    <i>
      <x v="36"/>
    </i>
    <i>
      <x v="28"/>
    </i>
    <i>
      <x v="48"/>
    </i>
    <i>
      <x v="4"/>
    </i>
    <i>
      <x v="27"/>
    </i>
    <i>
      <x v="41"/>
    </i>
    <i>
      <x v="47"/>
    </i>
    <i>
      <x v="30"/>
    </i>
    <i t="grand">
      <x/>
    </i>
  </rowItems>
  <colItems count="1">
    <i/>
  </colItems>
  <pageFields count="1">
    <pageField fld="10" item="0" hier="-1"/>
  </pageFields>
  <dataFields count="1">
    <dataField name="Sum of Amount" fld="3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6FD2-1BB6-4130-9F80-53F6BFA461D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3">
    <pivotField showAll="0"/>
    <pivotField showAll="0"/>
    <pivotField numFmtId="14" showAll="0">
      <items count="120">
        <item x="38"/>
        <item x="116"/>
        <item x="0"/>
        <item x="2"/>
        <item x="8"/>
        <item x="16"/>
        <item x="29"/>
        <item x="58"/>
        <item x="68"/>
        <item x="24"/>
        <item x="99"/>
        <item x="32"/>
        <item x="1"/>
        <item x="23"/>
        <item x="28"/>
        <item x="25"/>
        <item x="113"/>
        <item x="109"/>
        <item x="4"/>
        <item x="20"/>
        <item x="10"/>
        <item x="21"/>
        <item x="73"/>
        <item x="82"/>
        <item x="53"/>
        <item x="114"/>
        <item x="107"/>
        <item x="81"/>
        <item x="87"/>
        <item x="30"/>
        <item x="40"/>
        <item x="47"/>
        <item x="89"/>
        <item x="67"/>
        <item x="112"/>
        <item x="83"/>
        <item x="42"/>
        <item x="90"/>
        <item x="41"/>
        <item x="60"/>
        <item x="55"/>
        <item x="102"/>
        <item x="106"/>
        <item x="5"/>
        <item x="15"/>
        <item x="95"/>
        <item x="9"/>
        <item x="70"/>
        <item x="93"/>
        <item x="27"/>
        <item x="86"/>
        <item x="98"/>
        <item x="105"/>
        <item x="108"/>
        <item x="44"/>
        <item x="35"/>
        <item x="6"/>
        <item x="115"/>
        <item x="74"/>
        <item x="71"/>
        <item x="37"/>
        <item x="88"/>
        <item x="92"/>
        <item x="56"/>
        <item x="111"/>
        <item x="65"/>
        <item x="14"/>
        <item x="36"/>
        <item x="18"/>
        <item x="104"/>
        <item x="43"/>
        <item x="31"/>
        <item x="39"/>
        <item x="3"/>
        <item x="17"/>
        <item x="22"/>
        <item x="78"/>
        <item x="76"/>
        <item x="117"/>
        <item x="96"/>
        <item x="80"/>
        <item x="110"/>
        <item x="61"/>
        <item x="50"/>
        <item x="97"/>
        <item x="103"/>
        <item x="69"/>
        <item x="84"/>
        <item x="57"/>
        <item x="46"/>
        <item x="59"/>
        <item x="34"/>
        <item x="51"/>
        <item x="45"/>
        <item x="19"/>
        <item x="94"/>
        <item x="54"/>
        <item x="75"/>
        <item x="52"/>
        <item x="85"/>
        <item x="63"/>
        <item x="77"/>
        <item x="100"/>
        <item x="12"/>
        <item x="7"/>
        <item x="72"/>
        <item x="101"/>
        <item x="118"/>
        <item x="33"/>
        <item x="26"/>
        <item x="79"/>
        <item x="62"/>
        <item x="66"/>
        <item x="49"/>
        <item x="13"/>
        <item x="64"/>
        <item x="11"/>
        <item x="91"/>
        <item x="48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15F5-398E-45C9-87D5-B1BD9DCE14C3}">
  <dimension ref="A3:B8"/>
  <sheetViews>
    <sheetView workbookViewId="0">
      <selection activeCell="H18" sqref="H18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2" t="s">
        <v>594</v>
      </c>
      <c r="B3" t="s">
        <v>600</v>
      </c>
    </row>
    <row r="4" spans="1:2" x14ac:dyDescent="0.25">
      <c r="A4" s="3" t="s">
        <v>596</v>
      </c>
      <c r="B4" s="4">
        <v>7616638</v>
      </c>
    </row>
    <row r="5" spans="1:2" x14ac:dyDescent="0.25">
      <c r="A5" s="3" t="s">
        <v>597</v>
      </c>
      <c r="B5" s="4">
        <v>6250749</v>
      </c>
    </row>
    <row r="6" spans="1:2" x14ac:dyDescent="0.25">
      <c r="A6" s="3" t="s">
        <v>598</v>
      </c>
      <c r="B6" s="4">
        <v>7373342</v>
      </c>
    </row>
    <row r="7" spans="1:2" x14ac:dyDescent="0.25">
      <c r="A7" s="3" t="s">
        <v>599</v>
      </c>
      <c r="B7" s="4">
        <v>8512669</v>
      </c>
    </row>
    <row r="8" spans="1:2" x14ac:dyDescent="0.25">
      <c r="A8" s="3" t="s">
        <v>595</v>
      </c>
      <c r="B8" s="4">
        <v>29753398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B91A-0844-4D71-BFF1-033CB2C55863}">
  <dimension ref="A3:B10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2" t="s">
        <v>594</v>
      </c>
      <c r="B3" t="s">
        <v>600</v>
      </c>
    </row>
    <row r="4" spans="1:2" x14ac:dyDescent="0.25">
      <c r="A4" s="3" t="s">
        <v>32</v>
      </c>
      <c r="B4" s="4">
        <v>4094804</v>
      </c>
    </row>
    <row r="5" spans="1:2" x14ac:dyDescent="0.25">
      <c r="A5" s="3" t="s">
        <v>16</v>
      </c>
      <c r="B5" s="4">
        <v>4402362</v>
      </c>
    </row>
    <row r="6" spans="1:2" x14ac:dyDescent="0.25">
      <c r="A6" s="3" t="s">
        <v>10</v>
      </c>
      <c r="B6" s="4">
        <v>4462860</v>
      </c>
    </row>
    <row r="7" spans="1:2" x14ac:dyDescent="0.25">
      <c r="A7" s="3" t="s">
        <v>41</v>
      </c>
      <c r="B7" s="4">
        <v>5017288</v>
      </c>
    </row>
    <row r="8" spans="1:2" x14ac:dyDescent="0.25">
      <c r="A8" s="3" t="s">
        <v>37</v>
      </c>
      <c r="B8" s="4">
        <v>5780661</v>
      </c>
    </row>
    <row r="9" spans="1:2" x14ac:dyDescent="0.25">
      <c r="A9" s="3" t="s">
        <v>21</v>
      </c>
      <c r="B9" s="4">
        <v>5995423</v>
      </c>
    </row>
    <row r="10" spans="1:2" x14ac:dyDescent="0.25">
      <c r="A10" s="3" t="s">
        <v>595</v>
      </c>
      <c r="B10" s="4">
        <v>29753398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92BC-779F-4E1A-A650-191A5404FC64}">
  <dimension ref="A1:B14"/>
  <sheetViews>
    <sheetView workbookViewId="0">
      <selection activeCell="B9" sqref="B9"/>
    </sheetView>
  </sheetViews>
  <sheetFormatPr defaultRowHeight="15" x14ac:dyDescent="0.25"/>
  <cols>
    <col min="1" max="1" width="14.7109375" bestFit="1" customWidth="1"/>
    <col min="2" max="2" width="14.85546875" bestFit="1" customWidth="1"/>
  </cols>
  <sheetData>
    <row r="1" spans="1:2" x14ac:dyDescent="0.25">
      <c r="A1" s="2" t="s">
        <v>591</v>
      </c>
      <c r="B1" t="s">
        <v>601</v>
      </c>
    </row>
    <row r="3" spans="1:2" x14ac:dyDescent="0.25">
      <c r="A3" s="2" t="s">
        <v>594</v>
      </c>
      <c r="B3" t="s">
        <v>600</v>
      </c>
    </row>
    <row r="4" spans="1:2" x14ac:dyDescent="0.25">
      <c r="A4" s="3" t="s">
        <v>36</v>
      </c>
      <c r="B4" s="4">
        <v>1082781</v>
      </c>
    </row>
    <row r="5" spans="1:2" x14ac:dyDescent="0.25">
      <c r="A5" s="3" t="s">
        <v>112</v>
      </c>
      <c r="B5" s="4">
        <v>1069214</v>
      </c>
    </row>
    <row r="6" spans="1:2" x14ac:dyDescent="0.25">
      <c r="A6" s="3" t="s">
        <v>88</v>
      </c>
      <c r="B6" s="4">
        <v>979644</v>
      </c>
    </row>
    <row r="7" spans="1:2" x14ac:dyDescent="0.25">
      <c r="A7" s="3" t="s">
        <v>28</v>
      </c>
      <c r="B7" s="4">
        <v>883884</v>
      </c>
    </row>
    <row r="8" spans="1:2" x14ac:dyDescent="0.25">
      <c r="A8" s="3" t="s">
        <v>72</v>
      </c>
      <c r="B8" s="4">
        <v>720275</v>
      </c>
    </row>
    <row r="9" spans="1:2" x14ac:dyDescent="0.25">
      <c r="A9" s="3" t="s">
        <v>48</v>
      </c>
      <c r="B9" s="4">
        <v>717515</v>
      </c>
    </row>
    <row r="10" spans="1:2" x14ac:dyDescent="0.25">
      <c r="A10" s="3" t="s">
        <v>20</v>
      </c>
      <c r="B10" s="4">
        <v>690803</v>
      </c>
    </row>
    <row r="11" spans="1:2" x14ac:dyDescent="0.25">
      <c r="A11" s="3" t="s">
        <v>65</v>
      </c>
      <c r="B11" s="4">
        <v>687818</v>
      </c>
    </row>
    <row r="12" spans="1:2" x14ac:dyDescent="0.25">
      <c r="A12" s="3" t="s">
        <v>15</v>
      </c>
      <c r="B12" s="4">
        <v>653679</v>
      </c>
    </row>
    <row r="13" spans="1:2" x14ac:dyDescent="0.25">
      <c r="A13" s="3" t="s">
        <v>206</v>
      </c>
      <c r="B13" s="4">
        <v>649386</v>
      </c>
    </row>
    <row r="14" spans="1:2" x14ac:dyDescent="0.25">
      <c r="A14" s="3" t="s">
        <v>595</v>
      </c>
      <c r="B14" s="4">
        <v>8134999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6A4F-7B93-4F68-81F8-2F04D259D09B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2" t="s">
        <v>594</v>
      </c>
      <c r="B3" t="s">
        <v>600</v>
      </c>
    </row>
    <row r="4" spans="1:2" x14ac:dyDescent="0.25">
      <c r="A4" s="3" t="s">
        <v>602</v>
      </c>
      <c r="B4" s="4">
        <v>23353537</v>
      </c>
    </row>
    <row r="5" spans="1:2" x14ac:dyDescent="0.25">
      <c r="A5" s="3" t="s">
        <v>603</v>
      </c>
      <c r="B5" s="4">
        <v>6399861</v>
      </c>
    </row>
    <row r="6" spans="1:2" x14ac:dyDescent="0.25">
      <c r="A6" s="3" t="s">
        <v>595</v>
      </c>
      <c r="B6" s="4">
        <v>29753398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1B2E-1361-498D-A9FE-D7F99A22F682}">
  <dimension ref="A1:D4"/>
  <sheetViews>
    <sheetView showGridLines="0" zoomScale="75" zoomScaleNormal="75" workbookViewId="0">
      <selection activeCell="K3" sqref="K3"/>
    </sheetView>
  </sheetViews>
  <sheetFormatPr defaultRowHeight="15" x14ac:dyDescent="0.25"/>
  <cols>
    <col min="1" max="1" width="32.5703125" customWidth="1"/>
    <col min="2" max="2" width="34" customWidth="1"/>
    <col min="3" max="3" width="36.140625" customWidth="1"/>
    <col min="4" max="4" width="37.5703125" customWidth="1"/>
  </cols>
  <sheetData>
    <row r="1" spans="1:4" ht="60.75" thickBot="1" x14ac:dyDescent="1.1499999999999999">
      <c r="B1" s="10" t="s">
        <v>608</v>
      </c>
    </row>
    <row r="2" spans="1:4" ht="16.5" thickTop="1" thickBot="1" x14ac:dyDescent="0.3">
      <c r="A2" s="6" t="s">
        <v>605</v>
      </c>
      <c r="B2" s="5" t="s">
        <v>606</v>
      </c>
      <c r="C2" s="5" t="s">
        <v>607</v>
      </c>
      <c r="D2" s="5" t="s">
        <v>604</v>
      </c>
    </row>
    <row r="3" spans="1:4" ht="40.5" thickTop="1" thickBot="1" x14ac:dyDescent="0.3">
      <c r="A3" s="8">
        <f>SUM(credit_card_transactions_500_ro!D:D)</f>
        <v>29753398</v>
      </c>
      <c r="B3" s="9">
        <f>COUNTA(credit_card_transactions_500_ro!A:A)</f>
        <v>501</v>
      </c>
      <c r="C3" s="9">
        <f>COUNTIF(credit_card_transactions_500_ro!K:K,"High Value")</f>
        <v>288</v>
      </c>
      <c r="D3" s="9">
        <f>COUNTIF(credit_card_transactions_500_ro!L:L,"Suspicious")</f>
        <v>179</v>
      </c>
    </row>
    <row r="4" spans="1:4" ht="39.75" thickTop="1" x14ac:dyDescent="0.25">
      <c r="B4" s="11" t="s">
        <v>609</v>
      </c>
      <c r="D4" s="11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9686-6E2C-4484-A459-76D5F906CB71}">
  <dimension ref="A1:L501"/>
  <sheetViews>
    <sheetView tabSelected="1" workbookViewId="0">
      <selection activeCell="L14" sqref="L14"/>
    </sheetView>
  </sheetViews>
  <sheetFormatPr defaultRowHeight="15" x14ac:dyDescent="0.25"/>
  <cols>
    <col min="1" max="1" width="14.28515625" customWidth="1"/>
    <col min="2" max="2" width="11.85546875" customWidth="1"/>
    <col min="3" max="3" width="15.85546875" customWidth="1"/>
    <col min="5" max="5" width="11.140625" customWidth="1"/>
    <col min="6" max="6" width="16.85546875" customWidth="1"/>
    <col min="7" max="7" width="12.42578125" customWidth="1"/>
    <col min="8" max="8" width="15" customWidth="1"/>
    <col min="10" max="10" width="13.42578125" customWidth="1"/>
    <col min="11" max="11" width="16.140625" customWidth="1"/>
    <col min="12" max="12" width="14.7109375" customWidth="1"/>
  </cols>
  <sheetData>
    <row r="1" spans="1:12" s="7" customFormat="1" ht="16.5" thickTop="1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590</v>
      </c>
      <c r="J1" s="7" t="s">
        <v>593</v>
      </c>
      <c r="K1" s="7" t="s">
        <v>591</v>
      </c>
      <c r="L1" s="7" t="s">
        <v>592</v>
      </c>
    </row>
    <row r="2" spans="1:12" ht="15.75" thickTop="1" x14ac:dyDescent="0.25">
      <c r="A2" t="s">
        <v>8</v>
      </c>
      <c r="B2" t="s">
        <v>9</v>
      </c>
      <c r="C2" s="1">
        <v>45295</v>
      </c>
      <c r="D2">
        <v>97496</v>
      </c>
      <c r="E2" t="s">
        <v>10</v>
      </c>
      <c r="F2" t="s">
        <v>11</v>
      </c>
      <c r="G2" t="s">
        <v>12</v>
      </c>
      <c r="H2" t="s">
        <v>13</v>
      </c>
      <c r="I2" t="str">
        <f>TEXT(C2,"dddd")</f>
        <v>Thursday</v>
      </c>
      <c r="J2" t="str">
        <f>IF(OR(I2="Saturday",I2="Sunday"),"Weekend","Weekday")</f>
        <v>Weekday</v>
      </c>
      <c r="K2" t="str">
        <f>IF(D2&gt;50000,"High Value","Normal")</f>
        <v>High Value</v>
      </c>
      <c r="L2" t="str">
        <f>IF(D2&gt;75000,"Suspicious","Normal")</f>
        <v>Suspicious</v>
      </c>
    </row>
    <row r="3" spans="1:12" x14ac:dyDescent="0.25">
      <c r="A3" t="s">
        <v>14</v>
      </c>
      <c r="B3" t="s">
        <v>15</v>
      </c>
      <c r="C3" s="1">
        <v>45305</v>
      </c>
      <c r="D3">
        <v>88996</v>
      </c>
      <c r="E3" t="s">
        <v>16</v>
      </c>
      <c r="F3" t="s">
        <v>17</v>
      </c>
      <c r="G3" t="s">
        <v>18</v>
      </c>
      <c r="H3" t="s">
        <v>13</v>
      </c>
      <c r="I3" t="str">
        <f>TEXT(C3,"dddd")</f>
        <v>Sunday</v>
      </c>
      <c r="J3" t="str">
        <f t="shared" ref="J3:J66" si="0">IF(OR(I3="Saturday",I3="Sunday"),"Weekend","Weekday")</f>
        <v>Weekend</v>
      </c>
      <c r="K3" t="str">
        <f t="shared" ref="K3:K66" si="1">IF(D3&gt;50000,"High Value","Normal")</f>
        <v>High Value</v>
      </c>
      <c r="L3" t="str">
        <f t="shared" ref="L3:L66" si="2">IF(D3&gt;75000,"Suspicious","Normal")</f>
        <v>Suspicious</v>
      </c>
    </row>
    <row r="4" spans="1:12" x14ac:dyDescent="0.25">
      <c r="A4" t="s">
        <v>19</v>
      </c>
      <c r="B4" t="s">
        <v>20</v>
      </c>
      <c r="C4" s="1">
        <v>45296</v>
      </c>
      <c r="D4">
        <v>4205</v>
      </c>
      <c r="E4" t="s">
        <v>21</v>
      </c>
      <c r="F4" t="s">
        <v>22</v>
      </c>
      <c r="G4" t="s">
        <v>12</v>
      </c>
      <c r="H4" t="s">
        <v>13</v>
      </c>
      <c r="I4" t="str">
        <f>TEXT(C4,"dddd")</f>
        <v>Friday</v>
      </c>
      <c r="J4" t="str">
        <f t="shared" si="0"/>
        <v>Weekday</v>
      </c>
      <c r="K4" t="str">
        <f t="shared" si="1"/>
        <v>Normal</v>
      </c>
      <c r="L4" t="str">
        <f t="shared" si="2"/>
        <v>Normal</v>
      </c>
    </row>
    <row r="5" spans="1:12" x14ac:dyDescent="0.25">
      <c r="A5" t="s">
        <v>23</v>
      </c>
      <c r="B5" t="s">
        <v>24</v>
      </c>
      <c r="C5" s="1">
        <v>45295</v>
      </c>
      <c r="D5">
        <v>73863</v>
      </c>
      <c r="E5" t="s">
        <v>21</v>
      </c>
      <c r="F5" t="s">
        <v>22</v>
      </c>
      <c r="G5" t="s">
        <v>25</v>
      </c>
      <c r="H5" t="s">
        <v>26</v>
      </c>
      <c r="I5" t="str">
        <f t="shared" ref="I5:I68" si="3">TEXT(C5,"dddd")</f>
        <v>Thursday</v>
      </c>
      <c r="J5" t="str">
        <f t="shared" si="0"/>
        <v>Weekday</v>
      </c>
      <c r="K5" t="str">
        <f t="shared" si="1"/>
        <v>High Value</v>
      </c>
      <c r="L5" t="str">
        <f t="shared" si="2"/>
        <v>Normal</v>
      </c>
    </row>
    <row r="6" spans="1:12" ht="16.5" customHeight="1" x14ac:dyDescent="0.25">
      <c r="A6" t="s">
        <v>27</v>
      </c>
      <c r="B6" t="s">
        <v>28</v>
      </c>
      <c r="C6" s="1">
        <v>45367</v>
      </c>
      <c r="D6">
        <v>36763</v>
      </c>
      <c r="E6" t="s">
        <v>16</v>
      </c>
      <c r="F6" t="s">
        <v>29</v>
      </c>
      <c r="G6" t="s">
        <v>12</v>
      </c>
      <c r="H6" t="s">
        <v>26</v>
      </c>
      <c r="I6" t="str">
        <f t="shared" si="3"/>
        <v>Saturday</v>
      </c>
      <c r="J6" t="str">
        <f t="shared" si="0"/>
        <v>Weekend</v>
      </c>
      <c r="K6" t="str">
        <f t="shared" si="1"/>
        <v>Normal</v>
      </c>
      <c r="L6" t="str">
        <f t="shared" si="2"/>
        <v>Normal</v>
      </c>
    </row>
    <row r="7" spans="1:12" x14ac:dyDescent="0.25">
      <c r="A7" t="s">
        <v>30</v>
      </c>
      <c r="B7" t="s">
        <v>31</v>
      </c>
      <c r="C7" s="1">
        <v>45311</v>
      </c>
      <c r="D7">
        <v>28521</v>
      </c>
      <c r="E7" t="s">
        <v>32</v>
      </c>
      <c r="F7" t="s">
        <v>33</v>
      </c>
      <c r="G7" t="s">
        <v>34</v>
      </c>
      <c r="H7" t="s">
        <v>13</v>
      </c>
      <c r="I7" t="str">
        <f t="shared" si="3"/>
        <v>Saturday</v>
      </c>
      <c r="J7" t="str">
        <f t="shared" si="0"/>
        <v>Weekend</v>
      </c>
      <c r="K7" t="str">
        <f t="shared" si="1"/>
        <v>Normal</v>
      </c>
      <c r="L7" t="str">
        <f t="shared" si="2"/>
        <v>Normal</v>
      </c>
    </row>
    <row r="8" spans="1:12" x14ac:dyDescent="0.25">
      <c r="A8" t="s">
        <v>35</v>
      </c>
      <c r="B8" t="s">
        <v>36</v>
      </c>
      <c r="C8" s="1">
        <v>45337</v>
      </c>
      <c r="D8">
        <v>111382</v>
      </c>
      <c r="E8" t="s">
        <v>37</v>
      </c>
      <c r="F8" t="s">
        <v>38</v>
      </c>
      <c r="G8" t="s">
        <v>18</v>
      </c>
      <c r="H8" t="s">
        <v>26</v>
      </c>
      <c r="I8" t="str">
        <f t="shared" si="3"/>
        <v>Thursday</v>
      </c>
      <c r="J8" t="str">
        <f>IF(OR(I8="Saturday",I8="Sunday"),"Weekend","Weekday")</f>
        <v>Weekday</v>
      </c>
      <c r="K8" t="str">
        <f t="shared" si="1"/>
        <v>High Value</v>
      </c>
      <c r="L8" t="str">
        <f t="shared" si="2"/>
        <v>Suspicious</v>
      </c>
    </row>
    <row r="9" spans="1:12" x14ac:dyDescent="0.25">
      <c r="A9" t="s">
        <v>39</v>
      </c>
      <c r="B9" t="s">
        <v>40</v>
      </c>
      <c r="C9" s="1">
        <v>45350</v>
      </c>
      <c r="D9">
        <v>70584</v>
      </c>
      <c r="E9" t="s">
        <v>41</v>
      </c>
      <c r="F9" t="s">
        <v>42</v>
      </c>
      <c r="G9" t="s">
        <v>43</v>
      </c>
      <c r="H9" t="s">
        <v>13</v>
      </c>
      <c r="I9" t="str">
        <f t="shared" si="3"/>
        <v>Wednesday</v>
      </c>
      <c r="J9" t="str">
        <f t="shared" si="0"/>
        <v>Weekday</v>
      </c>
      <c r="K9" t="str">
        <f t="shared" si="1"/>
        <v>High Value</v>
      </c>
      <c r="L9" t="str">
        <f t="shared" si="2"/>
        <v>Normal</v>
      </c>
    </row>
    <row r="10" spans="1:12" x14ac:dyDescent="0.25">
      <c r="A10" t="s">
        <v>44</v>
      </c>
      <c r="B10" t="s">
        <v>45</v>
      </c>
      <c r="C10" s="1">
        <v>45398</v>
      </c>
      <c r="D10">
        <v>82697</v>
      </c>
      <c r="E10" t="s">
        <v>21</v>
      </c>
      <c r="F10" t="s">
        <v>46</v>
      </c>
      <c r="G10" t="s">
        <v>18</v>
      </c>
      <c r="H10" t="s">
        <v>13</v>
      </c>
      <c r="I10" t="str">
        <f t="shared" si="3"/>
        <v>Tuesday</v>
      </c>
      <c r="J10" t="str">
        <f t="shared" si="0"/>
        <v>Weekday</v>
      </c>
      <c r="K10" t="str">
        <f t="shared" si="1"/>
        <v>High Value</v>
      </c>
      <c r="L10" t="str">
        <f t="shared" si="2"/>
        <v>Suspicious</v>
      </c>
    </row>
    <row r="11" spans="1:12" x14ac:dyDescent="0.25">
      <c r="A11" t="s">
        <v>47</v>
      </c>
      <c r="B11" t="s">
        <v>48</v>
      </c>
      <c r="C11" s="1">
        <v>45297</v>
      </c>
      <c r="D11">
        <v>86973</v>
      </c>
      <c r="E11" t="s">
        <v>10</v>
      </c>
      <c r="F11" t="s">
        <v>49</v>
      </c>
      <c r="G11" t="s">
        <v>50</v>
      </c>
      <c r="H11" t="s">
        <v>13</v>
      </c>
      <c r="I11" t="str">
        <f t="shared" si="3"/>
        <v>Saturday</v>
      </c>
      <c r="J11" t="str">
        <f t="shared" si="0"/>
        <v>Weekend</v>
      </c>
      <c r="K11" t="str">
        <f t="shared" si="1"/>
        <v>High Value</v>
      </c>
      <c r="L11" t="str">
        <f t="shared" si="2"/>
        <v>Suspicious</v>
      </c>
    </row>
    <row r="12" spans="1:12" x14ac:dyDescent="0.25">
      <c r="A12" t="s">
        <v>51</v>
      </c>
      <c r="B12" t="s">
        <v>36</v>
      </c>
      <c r="C12" s="1">
        <v>45340</v>
      </c>
      <c r="D12">
        <v>36734</v>
      </c>
      <c r="E12" t="s">
        <v>16</v>
      </c>
      <c r="F12" t="s">
        <v>52</v>
      </c>
      <c r="G12" t="s">
        <v>25</v>
      </c>
      <c r="H12" t="s">
        <v>26</v>
      </c>
      <c r="I12" t="str">
        <f t="shared" si="3"/>
        <v>Sunday</v>
      </c>
      <c r="J12" t="str">
        <f t="shared" si="0"/>
        <v>Weekend</v>
      </c>
      <c r="K12" t="str">
        <f t="shared" si="1"/>
        <v>Normal</v>
      </c>
      <c r="L12" t="str">
        <f t="shared" si="2"/>
        <v>Normal</v>
      </c>
    </row>
    <row r="13" spans="1:12" ht="15.75" thickBot="1" x14ac:dyDescent="0.3">
      <c r="A13" t="s">
        <v>53</v>
      </c>
      <c r="B13" t="s">
        <v>54</v>
      </c>
      <c r="C13" s="1">
        <v>45337</v>
      </c>
      <c r="D13">
        <v>27760</v>
      </c>
      <c r="E13" t="s">
        <v>16</v>
      </c>
      <c r="F13" t="s">
        <v>17</v>
      </c>
      <c r="G13" t="s">
        <v>50</v>
      </c>
      <c r="H13" t="s">
        <v>13</v>
      </c>
      <c r="I13" t="str">
        <f t="shared" si="3"/>
        <v>Thursday</v>
      </c>
      <c r="J13" t="str">
        <f t="shared" si="0"/>
        <v>Weekday</v>
      </c>
      <c r="K13" t="str">
        <f t="shared" si="1"/>
        <v>Normal</v>
      </c>
      <c r="L13" t="str">
        <f t="shared" si="2"/>
        <v>Normal</v>
      </c>
    </row>
    <row r="14" spans="1:12" ht="16.5" thickTop="1" thickBot="1" x14ac:dyDescent="0.3">
      <c r="A14" t="s">
        <v>55</v>
      </c>
      <c r="B14" t="s">
        <v>56</v>
      </c>
      <c r="C14" s="1">
        <v>45313</v>
      </c>
      <c r="D14">
        <v>70310</v>
      </c>
      <c r="E14" t="s">
        <v>21</v>
      </c>
      <c r="F14" t="s">
        <v>22</v>
      </c>
      <c r="G14" t="s">
        <v>12</v>
      </c>
      <c r="H14" t="s">
        <v>26</v>
      </c>
      <c r="I14" t="str">
        <f t="shared" si="3"/>
        <v>Monday</v>
      </c>
      <c r="J14" t="str">
        <f t="shared" si="0"/>
        <v>Weekday</v>
      </c>
      <c r="K14" t="str">
        <f t="shared" si="1"/>
        <v>High Value</v>
      </c>
      <c r="L14" s="7" t="str">
        <f t="shared" si="2"/>
        <v>Normal</v>
      </c>
    </row>
    <row r="15" spans="1:12" ht="15.75" thickTop="1" x14ac:dyDescent="0.25">
      <c r="A15" t="s">
        <v>57</v>
      </c>
      <c r="B15" t="s">
        <v>31</v>
      </c>
      <c r="C15" s="1">
        <v>45410</v>
      </c>
      <c r="D15">
        <v>84186</v>
      </c>
      <c r="E15" t="s">
        <v>37</v>
      </c>
      <c r="F15" t="s">
        <v>58</v>
      </c>
      <c r="G15" t="s">
        <v>25</v>
      </c>
      <c r="H15" t="s">
        <v>26</v>
      </c>
      <c r="I15" t="str">
        <f t="shared" si="3"/>
        <v>Sunday</v>
      </c>
      <c r="J15" t="str">
        <f t="shared" si="0"/>
        <v>Weekend</v>
      </c>
      <c r="K15" t="str">
        <f t="shared" si="1"/>
        <v>High Value</v>
      </c>
      <c r="L15" t="str">
        <f t="shared" si="2"/>
        <v>Suspicious</v>
      </c>
    </row>
    <row r="16" spans="1:12" x14ac:dyDescent="0.25">
      <c r="A16" t="s">
        <v>59</v>
      </c>
      <c r="B16" t="s">
        <v>60</v>
      </c>
      <c r="C16" s="1">
        <v>45397</v>
      </c>
      <c r="D16">
        <v>4507</v>
      </c>
      <c r="E16" t="s">
        <v>41</v>
      </c>
      <c r="F16" t="s">
        <v>61</v>
      </c>
      <c r="G16" t="s">
        <v>43</v>
      </c>
      <c r="H16" t="s">
        <v>26</v>
      </c>
      <c r="I16" t="str">
        <f t="shared" si="3"/>
        <v>Monday</v>
      </c>
      <c r="J16" t="str">
        <f t="shared" si="0"/>
        <v>Weekday</v>
      </c>
      <c r="K16" t="str">
        <f t="shared" si="1"/>
        <v>Normal</v>
      </c>
      <c r="L16" t="str">
        <f t="shared" si="2"/>
        <v>Normal</v>
      </c>
    </row>
    <row r="17" spans="1:12" x14ac:dyDescent="0.25">
      <c r="A17" t="s">
        <v>62</v>
      </c>
      <c r="B17" t="s">
        <v>63</v>
      </c>
      <c r="C17" s="1">
        <v>45408</v>
      </c>
      <c r="D17">
        <v>74641</v>
      </c>
      <c r="E17" t="s">
        <v>41</v>
      </c>
      <c r="F17" t="s">
        <v>61</v>
      </c>
      <c r="G17" t="s">
        <v>12</v>
      </c>
      <c r="H17" t="s">
        <v>26</v>
      </c>
      <c r="I17" t="str">
        <f t="shared" si="3"/>
        <v>Friday</v>
      </c>
      <c r="J17" t="str">
        <f t="shared" si="0"/>
        <v>Weekday</v>
      </c>
      <c r="K17" t="str">
        <f t="shared" si="1"/>
        <v>High Value</v>
      </c>
      <c r="L17" t="str">
        <f t="shared" si="2"/>
        <v>Normal</v>
      </c>
    </row>
    <row r="18" spans="1:12" x14ac:dyDescent="0.25">
      <c r="A18" t="s">
        <v>64</v>
      </c>
      <c r="B18" t="s">
        <v>65</v>
      </c>
      <c r="C18" s="1">
        <v>45350</v>
      </c>
      <c r="D18">
        <v>19026</v>
      </c>
      <c r="E18" t="s">
        <v>37</v>
      </c>
      <c r="F18" t="s">
        <v>38</v>
      </c>
      <c r="G18" t="s">
        <v>12</v>
      </c>
      <c r="H18" t="s">
        <v>13</v>
      </c>
      <c r="I18" t="str">
        <f t="shared" si="3"/>
        <v>Wednesday</v>
      </c>
      <c r="J18" t="str">
        <f t="shared" si="0"/>
        <v>Weekday</v>
      </c>
      <c r="K18" t="str">
        <f t="shared" si="1"/>
        <v>Normal</v>
      </c>
      <c r="L18" t="str">
        <f t="shared" si="2"/>
        <v>Normal</v>
      </c>
    </row>
    <row r="19" spans="1:12" x14ac:dyDescent="0.25">
      <c r="A19" t="s">
        <v>66</v>
      </c>
      <c r="B19" t="s">
        <v>67</v>
      </c>
      <c r="C19" s="1">
        <v>45360</v>
      </c>
      <c r="D19">
        <v>34738</v>
      </c>
      <c r="E19" t="s">
        <v>10</v>
      </c>
      <c r="F19" t="s">
        <v>68</v>
      </c>
      <c r="G19" t="s">
        <v>18</v>
      </c>
      <c r="H19" t="s">
        <v>26</v>
      </c>
      <c r="I19" t="str">
        <f t="shared" si="3"/>
        <v>Saturday</v>
      </c>
      <c r="J19" t="str">
        <f t="shared" si="0"/>
        <v>Weekend</v>
      </c>
      <c r="K19" t="str">
        <f t="shared" si="1"/>
        <v>Normal</v>
      </c>
      <c r="L19" t="str">
        <f t="shared" si="2"/>
        <v>Normal</v>
      </c>
    </row>
    <row r="20" spans="1:12" x14ac:dyDescent="0.25">
      <c r="A20" t="s">
        <v>69</v>
      </c>
      <c r="B20" t="s">
        <v>70</v>
      </c>
      <c r="C20" s="1">
        <v>45338</v>
      </c>
      <c r="D20">
        <v>29046</v>
      </c>
      <c r="E20" t="s">
        <v>21</v>
      </c>
      <c r="F20" t="s">
        <v>22</v>
      </c>
      <c r="G20" t="s">
        <v>18</v>
      </c>
      <c r="H20" t="s">
        <v>26</v>
      </c>
      <c r="I20" t="str">
        <f t="shared" si="3"/>
        <v>Friday</v>
      </c>
      <c r="J20" t="str">
        <f t="shared" si="0"/>
        <v>Weekday</v>
      </c>
      <c r="K20" t="str">
        <f t="shared" si="1"/>
        <v>Normal</v>
      </c>
      <c r="L20" t="str">
        <f t="shared" si="2"/>
        <v>Normal</v>
      </c>
    </row>
    <row r="21" spans="1:12" x14ac:dyDescent="0.25">
      <c r="A21" t="s">
        <v>71</v>
      </c>
      <c r="B21" t="s">
        <v>72</v>
      </c>
      <c r="C21" s="1">
        <v>45298</v>
      </c>
      <c r="D21">
        <v>113166</v>
      </c>
      <c r="E21" t="s">
        <v>41</v>
      </c>
      <c r="F21" t="s">
        <v>42</v>
      </c>
      <c r="G21" t="s">
        <v>12</v>
      </c>
      <c r="H21" t="s">
        <v>13</v>
      </c>
      <c r="I21" t="str">
        <f t="shared" si="3"/>
        <v>Sunday</v>
      </c>
      <c r="J21" t="str">
        <f t="shared" si="0"/>
        <v>Weekend</v>
      </c>
      <c r="K21" t="str">
        <f t="shared" si="1"/>
        <v>High Value</v>
      </c>
      <c r="L21" t="str">
        <f t="shared" si="2"/>
        <v>Suspicious</v>
      </c>
    </row>
    <row r="22" spans="1:12" x14ac:dyDescent="0.25">
      <c r="A22" t="s">
        <v>73</v>
      </c>
      <c r="B22" t="s">
        <v>20</v>
      </c>
      <c r="C22" s="1">
        <v>45368</v>
      </c>
      <c r="D22">
        <v>8626</v>
      </c>
      <c r="E22" t="s">
        <v>10</v>
      </c>
      <c r="F22" t="s">
        <v>11</v>
      </c>
      <c r="G22" t="s">
        <v>43</v>
      </c>
      <c r="H22" t="s">
        <v>26</v>
      </c>
      <c r="I22" t="str">
        <f t="shared" si="3"/>
        <v>Sunday</v>
      </c>
      <c r="J22" t="str">
        <f t="shared" si="0"/>
        <v>Weekend</v>
      </c>
      <c r="K22" t="str">
        <f t="shared" si="1"/>
        <v>Normal</v>
      </c>
      <c r="L22" t="str">
        <f t="shared" si="2"/>
        <v>Normal</v>
      </c>
    </row>
    <row r="23" spans="1:12" x14ac:dyDescent="0.25">
      <c r="A23" t="s">
        <v>74</v>
      </c>
      <c r="B23" t="s">
        <v>75</v>
      </c>
      <c r="C23" s="1">
        <v>45362</v>
      </c>
      <c r="D23">
        <v>113124</v>
      </c>
      <c r="E23" t="s">
        <v>21</v>
      </c>
      <c r="F23" t="s">
        <v>22</v>
      </c>
      <c r="G23" t="s">
        <v>25</v>
      </c>
      <c r="H23" t="s">
        <v>13</v>
      </c>
      <c r="I23" t="str">
        <f t="shared" si="3"/>
        <v>Monday</v>
      </c>
      <c r="J23" t="str">
        <f t="shared" si="0"/>
        <v>Weekday</v>
      </c>
      <c r="K23" t="str">
        <f t="shared" si="1"/>
        <v>High Value</v>
      </c>
      <c r="L23" t="str">
        <f t="shared" si="2"/>
        <v>Suspicious</v>
      </c>
    </row>
    <row r="24" spans="1:12" x14ac:dyDescent="0.25">
      <c r="A24" t="s">
        <v>76</v>
      </c>
      <c r="B24" t="s">
        <v>77</v>
      </c>
      <c r="C24" s="1">
        <v>45388</v>
      </c>
      <c r="D24">
        <v>35273</v>
      </c>
      <c r="E24" t="s">
        <v>10</v>
      </c>
      <c r="F24" t="s">
        <v>68</v>
      </c>
      <c r="G24" t="s">
        <v>50</v>
      </c>
      <c r="H24" t="s">
        <v>13</v>
      </c>
      <c r="I24" t="str">
        <f t="shared" si="3"/>
        <v>Saturday</v>
      </c>
      <c r="J24" t="str">
        <f t="shared" si="0"/>
        <v>Weekend</v>
      </c>
      <c r="K24" t="str">
        <f t="shared" si="1"/>
        <v>Normal</v>
      </c>
      <c r="L24" t="str">
        <f t="shared" si="2"/>
        <v>Normal</v>
      </c>
    </row>
    <row r="25" spans="1:12" x14ac:dyDescent="0.25">
      <c r="A25" t="s">
        <v>78</v>
      </c>
      <c r="B25" t="s">
        <v>20</v>
      </c>
      <c r="C25" s="1">
        <v>45312</v>
      </c>
      <c r="D25">
        <v>59770</v>
      </c>
      <c r="E25" t="s">
        <v>32</v>
      </c>
      <c r="F25" t="s">
        <v>79</v>
      </c>
      <c r="G25" t="s">
        <v>25</v>
      </c>
      <c r="H25" t="s">
        <v>26</v>
      </c>
      <c r="I25" t="str">
        <f t="shared" si="3"/>
        <v>Sunday</v>
      </c>
      <c r="J25" t="str">
        <f t="shared" si="0"/>
        <v>Weekend</v>
      </c>
      <c r="K25" t="str">
        <f t="shared" si="1"/>
        <v>High Value</v>
      </c>
      <c r="L25" t="str">
        <f t="shared" si="2"/>
        <v>Normal</v>
      </c>
    </row>
    <row r="26" spans="1:12" x14ac:dyDescent="0.25">
      <c r="A26" t="s">
        <v>80</v>
      </c>
      <c r="B26" t="s">
        <v>72</v>
      </c>
      <c r="C26" s="1">
        <v>45314</v>
      </c>
      <c r="D26">
        <v>66842</v>
      </c>
      <c r="E26" t="s">
        <v>21</v>
      </c>
      <c r="F26" t="s">
        <v>22</v>
      </c>
      <c r="G26" t="s">
        <v>25</v>
      </c>
      <c r="H26" t="s">
        <v>26</v>
      </c>
      <c r="I26" t="str">
        <f t="shared" si="3"/>
        <v>Tuesday</v>
      </c>
      <c r="J26" t="str">
        <f t="shared" si="0"/>
        <v>Weekday</v>
      </c>
      <c r="K26" t="str">
        <f t="shared" si="1"/>
        <v>High Value</v>
      </c>
      <c r="L26" t="str">
        <f t="shared" si="2"/>
        <v>Normal</v>
      </c>
    </row>
    <row r="27" spans="1:12" x14ac:dyDescent="0.25">
      <c r="A27" t="s">
        <v>81</v>
      </c>
      <c r="B27" t="s">
        <v>82</v>
      </c>
      <c r="C27" s="1">
        <v>45369</v>
      </c>
      <c r="D27">
        <v>26371</v>
      </c>
      <c r="E27" t="s">
        <v>10</v>
      </c>
      <c r="F27" t="s">
        <v>49</v>
      </c>
      <c r="G27" t="s">
        <v>50</v>
      </c>
      <c r="H27" t="s">
        <v>13</v>
      </c>
      <c r="I27" t="str">
        <f t="shared" si="3"/>
        <v>Monday</v>
      </c>
      <c r="J27" t="str">
        <f t="shared" si="0"/>
        <v>Weekday</v>
      </c>
      <c r="K27" t="str">
        <f t="shared" si="1"/>
        <v>Normal</v>
      </c>
      <c r="L27" t="str">
        <f t="shared" si="2"/>
        <v>Normal</v>
      </c>
    </row>
    <row r="28" spans="1:12" x14ac:dyDescent="0.25">
      <c r="A28" t="s">
        <v>83</v>
      </c>
      <c r="B28" t="s">
        <v>84</v>
      </c>
      <c r="C28" s="1">
        <v>45410</v>
      </c>
      <c r="D28">
        <v>69814</v>
      </c>
      <c r="E28" t="s">
        <v>21</v>
      </c>
      <c r="F28" t="s">
        <v>22</v>
      </c>
      <c r="G28" t="s">
        <v>18</v>
      </c>
      <c r="H28" t="s">
        <v>26</v>
      </c>
      <c r="I28" t="str">
        <f t="shared" si="3"/>
        <v>Sunday</v>
      </c>
      <c r="J28" t="str">
        <f t="shared" si="0"/>
        <v>Weekend</v>
      </c>
      <c r="K28" t="str">
        <f t="shared" si="1"/>
        <v>High Value</v>
      </c>
      <c r="L28" t="str">
        <f t="shared" si="2"/>
        <v>Normal</v>
      </c>
    </row>
    <row r="29" spans="1:12" x14ac:dyDescent="0.25">
      <c r="A29" t="s">
        <v>85</v>
      </c>
      <c r="B29" t="s">
        <v>86</v>
      </c>
      <c r="C29" s="1">
        <v>45306</v>
      </c>
      <c r="D29">
        <v>47876</v>
      </c>
      <c r="E29" t="s">
        <v>37</v>
      </c>
      <c r="F29" t="s">
        <v>38</v>
      </c>
      <c r="G29" t="s">
        <v>12</v>
      </c>
      <c r="H29" t="s">
        <v>13</v>
      </c>
      <c r="I29" t="str">
        <f t="shared" si="3"/>
        <v>Monday</v>
      </c>
      <c r="J29" t="str">
        <f t="shared" si="0"/>
        <v>Weekday</v>
      </c>
      <c r="K29" t="str">
        <f t="shared" si="1"/>
        <v>Normal</v>
      </c>
      <c r="L29" t="str">
        <f t="shared" si="2"/>
        <v>Normal</v>
      </c>
    </row>
    <row r="30" spans="1:12" x14ac:dyDescent="0.25">
      <c r="A30" t="s">
        <v>87</v>
      </c>
      <c r="B30" t="s">
        <v>88</v>
      </c>
      <c r="C30" s="1">
        <v>45302</v>
      </c>
      <c r="D30">
        <v>11526</v>
      </c>
      <c r="E30" t="s">
        <v>16</v>
      </c>
      <c r="F30" t="s">
        <v>17</v>
      </c>
      <c r="G30" t="s">
        <v>43</v>
      </c>
      <c r="H30" t="s">
        <v>13</v>
      </c>
      <c r="I30" t="str">
        <f t="shared" si="3"/>
        <v>Thursday</v>
      </c>
      <c r="J30" t="str">
        <f t="shared" si="0"/>
        <v>Weekday</v>
      </c>
      <c r="K30" t="str">
        <f t="shared" si="1"/>
        <v>Normal</v>
      </c>
      <c r="L30" t="str">
        <f t="shared" si="2"/>
        <v>Normal</v>
      </c>
    </row>
    <row r="31" spans="1:12" x14ac:dyDescent="0.25">
      <c r="A31" t="s">
        <v>89</v>
      </c>
      <c r="B31" t="s">
        <v>84</v>
      </c>
      <c r="C31" s="1">
        <v>45308</v>
      </c>
      <c r="D31">
        <v>17128</v>
      </c>
      <c r="E31" t="s">
        <v>21</v>
      </c>
      <c r="F31" t="s">
        <v>46</v>
      </c>
      <c r="G31" t="s">
        <v>18</v>
      </c>
      <c r="H31" t="s">
        <v>13</v>
      </c>
      <c r="I31" t="str">
        <f t="shared" si="3"/>
        <v>Wednesday</v>
      </c>
      <c r="J31" t="str">
        <f t="shared" si="0"/>
        <v>Weekday</v>
      </c>
      <c r="K31" t="str">
        <f t="shared" si="1"/>
        <v>Normal</v>
      </c>
      <c r="L31" t="str">
        <f t="shared" si="2"/>
        <v>Normal</v>
      </c>
    </row>
    <row r="32" spans="1:12" x14ac:dyDescent="0.25">
      <c r="A32" t="s">
        <v>90</v>
      </c>
      <c r="B32" t="s">
        <v>91</v>
      </c>
      <c r="C32" s="1">
        <v>45403</v>
      </c>
      <c r="D32">
        <v>79807</v>
      </c>
      <c r="E32" t="s">
        <v>32</v>
      </c>
      <c r="F32" t="s">
        <v>92</v>
      </c>
      <c r="G32" t="s">
        <v>12</v>
      </c>
      <c r="H32" t="s">
        <v>13</v>
      </c>
      <c r="I32" t="str">
        <f t="shared" si="3"/>
        <v>Sunday</v>
      </c>
      <c r="J32" t="str">
        <f t="shared" si="0"/>
        <v>Weekend</v>
      </c>
      <c r="K32" t="str">
        <f t="shared" si="1"/>
        <v>High Value</v>
      </c>
      <c r="L32" t="str">
        <f t="shared" si="2"/>
        <v>Suspicious</v>
      </c>
    </row>
    <row r="33" spans="1:12" x14ac:dyDescent="0.25">
      <c r="A33" t="s">
        <v>93</v>
      </c>
      <c r="B33" t="s">
        <v>94</v>
      </c>
      <c r="C33" s="1">
        <v>45343</v>
      </c>
      <c r="D33">
        <v>88339</v>
      </c>
      <c r="E33" t="s">
        <v>10</v>
      </c>
      <c r="F33" t="s">
        <v>68</v>
      </c>
      <c r="G33" t="s">
        <v>50</v>
      </c>
      <c r="H33" t="s">
        <v>26</v>
      </c>
      <c r="I33" t="str">
        <f t="shared" si="3"/>
        <v>Wednesday</v>
      </c>
      <c r="J33" t="str">
        <f t="shared" si="0"/>
        <v>Weekday</v>
      </c>
      <c r="K33" t="str">
        <f t="shared" si="1"/>
        <v>High Value</v>
      </c>
      <c r="L33" t="str">
        <f t="shared" si="2"/>
        <v>Suspicious</v>
      </c>
    </row>
    <row r="34" spans="1:12" x14ac:dyDescent="0.25">
      <c r="A34" t="s">
        <v>95</v>
      </c>
      <c r="B34" t="s">
        <v>28</v>
      </c>
      <c r="C34" s="1">
        <v>45307</v>
      </c>
      <c r="D34">
        <v>32793</v>
      </c>
      <c r="E34" t="s">
        <v>21</v>
      </c>
      <c r="F34" t="s">
        <v>22</v>
      </c>
      <c r="G34" t="s">
        <v>34</v>
      </c>
      <c r="H34" t="s">
        <v>26</v>
      </c>
      <c r="I34" t="str">
        <f t="shared" si="3"/>
        <v>Tuesday</v>
      </c>
      <c r="J34" t="str">
        <f t="shared" si="0"/>
        <v>Weekday</v>
      </c>
      <c r="K34" t="str">
        <f t="shared" si="1"/>
        <v>Normal</v>
      </c>
      <c r="L34" t="str">
        <f t="shared" si="2"/>
        <v>Normal</v>
      </c>
    </row>
    <row r="35" spans="1:12" x14ac:dyDescent="0.25">
      <c r="A35" t="s">
        <v>96</v>
      </c>
      <c r="B35" t="s">
        <v>97</v>
      </c>
      <c r="C35" s="1">
        <v>45362</v>
      </c>
      <c r="D35">
        <v>30461</v>
      </c>
      <c r="E35" t="s">
        <v>41</v>
      </c>
      <c r="F35" t="s">
        <v>98</v>
      </c>
      <c r="G35" t="s">
        <v>34</v>
      </c>
      <c r="H35" t="s">
        <v>13</v>
      </c>
      <c r="I35" t="str">
        <f t="shared" si="3"/>
        <v>Monday</v>
      </c>
      <c r="J35" t="str">
        <f t="shared" si="0"/>
        <v>Weekday</v>
      </c>
      <c r="K35" t="str">
        <f t="shared" si="1"/>
        <v>Normal</v>
      </c>
      <c r="L35" t="str">
        <f t="shared" si="2"/>
        <v>Normal</v>
      </c>
    </row>
    <row r="36" spans="1:12" x14ac:dyDescent="0.25">
      <c r="A36" t="s">
        <v>99</v>
      </c>
      <c r="B36" t="s">
        <v>56</v>
      </c>
      <c r="C36" s="1">
        <v>45299</v>
      </c>
      <c r="D36">
        <v>30307</v>
      </c>
      <c r="E36" t="s">
        <v>10</v>
      </c>
      <c r="F36" t="s">
        <v>49</v>
      </c>
      <c r="G36" t="s">
        <v>34</v>
      </c>
      <c r="H36" t="s">
        <v>26</v>
      </c>
      <c r="I36" t="str">
        <f t="shared" si="3"/>
        <v>Monday</v>
      </c>
      <c r="J36" t="str">
        <f t="shared" si="0"/>
        <v>Weekday</v>
      </c>
      <c r="K36" t="str">
        <f t="shared" si="1"/>
        <v>Normal</v>
      </c>
      <c r="L36" t="str">
        <f t="shared" si="2"/>
        <v>Normal</v>
      </c>
    </row>
    <row r="37" spans="1:12" x14ac:dyDescent="0.25">
      <c r="A37" t="s">
        <v>100</v>
      </c>
      <c r="B37" t="s">
        <v>82</v>
      </c>
      <c r="C37" s="1">
        <v>45322</v>
      </c>
      <c r="D37">
        <v>36800</v>
      </c>
      <c r="E37" t="s">
        <v>41</v>
      </c>
      <c r="F37" t="s">
        <v>101</v>
      </c>
      <c r="G37" t="s">
        <v>12</v>
      </c>
      <c r="H37" t="s">
        <v>13</v>
      </c>
      <c r="I37" t="str">
        <f t="shared" si="3"/>
        <v>Wednesday</v>
      </c>
      <c r="J37" t="str">
        <f t="shared" si="0"/>
        <v>Weekday</v>
      </c>
      <c r="K37" t="str">
        <f t="shared" si="1"/>
        <v>Normal</v>
      </c>
      <c r="L37" t="str">
        <f t="shared" si="2"/>
        <v>Normal</v>
      </c>
    </row>
    <row r="38" spans="1:12" x14ac:dyDescent="0.25">
      <c r="A38" t="s">
        <v>102</v>
      </c>
      <c r="B38" t="s">
        <v>88</v>
      </c>
      <c r="C38" s="1">
        <v>45365</v>
      </c>
      <c r="D38">
        <v>62253</v>
      </c>
      <c r="E38" t="s">
        <v>10</v>
      </c>
      <c r="F38" t="s">
        <v>49</v>
      </c>
      <c r="G38" t="s">
        <v>43</v>
      </c>
      <c r="H38" t="s">
        <v>26</v>
      </c>
      <c r="I38" t="str">
        <f t="shared" si="3"/>
        <v>Thursday</v>
      </c>
      <c r="J38" t="str">
        <f t="shared" si="0"/>
        <v>Weekday</v>
      </c>
      <c r="K38" t="str">
        <f t="shared" si="1"/>
        <v>High Value</v>
      </c>
      <c r="L38" t="str">
        <f t="shared" si="2"/>
        <v>Normal</v>
      </c>
    </row>
    <row r="39" spans="1:12" x14ac:dyDescent="0.25">
      <c r="A39" t="s">
        <v>103</v>
      </c>
      <c r="B39" t="s">
        <v>36</v>
      </c>
      <c r="C39" s="1">
        <v>45304</v>
      </c>
      <c r="D39">
        <v>86674</v>
      </c>
      <c r="E39" t="s">
        <v>16</v>
      </c>
      <c r="F39" t="s">
        <v>52</v>
      </c>
      <c r="G39" t="s">
        <v>50</v>
      </c>
      <c r="H39" t="s">
        <v>26</v>
      </c>
      <c r="I39" t="str">
        <f t="shared" si="3"/>
        <v>Saturday</v>
      </c>
      <c r="J39" t="str">
        <f t="shared" si="0"/>
        <v>Weekend</v>
      </c>
      <c r="K39" t="str">
        <f t="shared" si="1"/>
        <v>High Value</v>
      </c>
      <c r="L39" t="str">
        <f t="shared" si="2"/>
        <v>Suspicious</v>
      </c>
    </row>
    <row r="40" spans="1:12" x14ac:dyDescent="0.25">
      <c r="A40" t="s">
        <v>104</v>
      </c>
      <c r="B40" t="s">
        <v>105</v>
      </c>
      <c r="C40" s="1">
        <v>45402</v>
      </c>
      <c r="D40">
        <v>95861</v>
      </c>
      <c r="E40" t="s">
        <v>37</v>
      </c>
      <c r="F40" t="s">
        <v>58</v>
      </c>
      <c r="G40" t="s">
        <v>25</v>
      </c>
      <c r="H40" t="s">
        <v>13</v>
      </c>
      <c r="I40" t="str">
        <f t="shared" si="3"/>
        <v>Saturday</v>
      </c>
      <c r="J40" t="str">
        <f t="shared" si="0"/>
        <v>Weekend</v>
      </c>
      <c r="K40" t="str">
        <f t="shared" si="1"/>
        <v>High Value</v>
      </c>
      <c r="L40" t="str">
        <f t="shared" si="2"/>
        <v>Suspicious</v>
      </c>
    </row>
    <row r="41" spans="1:12" x14ac:dyDescent="0.25">
      <c r="A41" t="s">
        <v>106</v>
      </c>
      <c r="B41" t="s">
        <v>70</v>
      </c>
      <c r="C41" s="1">
        <v>45385</v>
      </c>
      <c r="D41">
        <v>44773</v>
      </c>
      <c r="E41" t="s">
        <v>41</v>
      </c>
      <c r="F41" t="s">
        <v>42</v>
      </c>
      <c r="G41" t="s">
        <v>12</v>
      </c>
      <c r="H41" t="s">
        <v>13</v>
      </c>
      <c r="I41" t="str">
        <f t="shared" si="3"/>
        <v>Wednesday</v>
      </c>
      <c r="J41" t="str">
        <f t="shared" si="0"/>
        <v>Weekday</v>
      </c>
      <c r="K41" t="str">
        <f t="shared" si="1"/>
        <v>Normal</v>
      </c>
      <c r="L41" t="str">
        <f t="shared" si="2"/>
        <v>Normal</v>
      </c>
    </row>
    <row r="42" spans="1:12" x14ac:dyDescent="0.25">
      <c r="A42" t="s">
        <v>107</v>
      </c>
      <c r="B42" t="s">
        <v>77</v>
      </c>
      <c r="C42" s="1">
        <v>45349</v>
      </c>
      <c r="D42">
        <v>18673</v>
      </c>
      <c r="E42" t="s">
        <v>16</v>
      </c>
      <c r="F42" t="s">
        <v>52</v>
      </c>
      <c r="G42" t="s">
        <v>12</v>
      </c>
      <c r="H42" t="s">
        <v>26</v>
      </c>
      <c r="I42" t="str">
        <f t="shared" si="3"/>
        <v>Tuesday</v>
      </c>
      <c r="J42" t="str">
        <f t="shared" si="0"/>
        <v>Weekday</v>
      </c>
      <c r="K42" t="str">
        <f t="shared" si="1"/>
        <v>Normal</v>
      </c>
      <c r="L42" t="str">
        <f t="shared" si="2"/>
        <v>Normal</v>
      </c>
    </row>
    <row r="43" spans="1:12" x14ac:dyDescent="0.25">
      <c r="A43" t="s">
        <v>108</v>
      </c>
      <c r="B43" t="s">
        <v>109</v>
      </c>
      <c r="C43" s="1">
        <v>45403</v>
      </c>
      <c r="D43">
        <v>10180</v>
      </c>
      <c r="E43" t="s">
        <v>37</v>
      </c>
      <c r="F43" t="s">
        <v>38</v>
      </c>
      <c r="G43" t="s">
        <v>18</v>
      </c>
      <c r="H43" t="s">
        <v>13</v>
      </c>
      <c r="I43" t="str">
        <f t="shared" si="3"/>
        <v>Sunday</v>
      </c>
      <c r="J43" t="str">
        <f t="shared" si="0"/>
        <v>Weekend</v>
      </c>
      <c r="K43" t="str">
        <f t="shared" si="1"/>
        <v>Normal</v>
      </c>
      <c r="L43" t="str">
        <f t="shared" si="2"/>
        <v>Normal</v>
      </c>
    </row>
    <row r="44" spans="1:12" x14ac:dyDescent="0.25">
      <c r="A44" t="s">
        <v>110</v>
      </c>
      <c r="B44" t="s">
        <v>65</v>
      </c>
      <c r="C44" s="1">
        <v>45361</v>
      </c>
      <c r="D44">
        <v>109879</v>
      </c>
      <c r="E44" t="s">
        <v>41</v>
      </c>
      <c r="F44" t="s">
        <v>42</v>
      </c>
      <c r="G44" t="s">
        <v>34</v>
      </c>
      <c r="H44" t="s">
        <v>13</v>
      </c>
      <c r="I44" t="str">
        <f t="shared" si="3"/>
        <v>Sunday</v>
      </c>
      <c r="J44" t="str">
        <f t="shared" si="0"/>
        <v>Weekend</v>
      </c>
      <c r="K44" t="str">
        <f t="shared" si="1"/>
        <v>High Value</v>
      </c>
      <c r="L44" t="str">
        <f t="shared" si="2"/>
        <v>Suspicious</v>
      </c>
    </row>
    <row r="45" spans="1:12" x14ac:dyDescent="0.25">
      <c r="A45" t="s">
        <v>111</v>
      </c>
      <c r="B45" t="s">
        <v>112</v>
      </c>
      <c r="C45" s="1">
        <v>45354</v>
      </c>
      <c r="D45">
        <v>63392</v>
      </c>
      <c r="E45" t="s">
        <v>16</v>
      </c>
      <c r="F45" t="s">
        <v>29</v>
      </c>
      <c r="G45" t="s">
        <v>43</v>
      </c>
      <c r="H45" t="s">
        <v>13</v>
      </c>
      <c r="I45" t="str">
        <f t="shared" si="3"/>
        <v>Sunday</v>
      </c>
      <c r="J45" t="str">
        <f t="shared" si="0"/>
        <v>Weekend</v>
      </c>
      <c r="K45" t="str">
        <f t="shared" si="1"/>
        <v>High Value</v>
      </c>
      <c r="L45" t="str">
        <f t="shared" si="2"/>
        <v>Normal</v>
      </c>
    </row>
    <row r="46" spans="1:12" x14ac:dyDescent="0.25">
      <c r="A46" t="s">
        <v>113</v>
      </c>
      <c r="B46" t="s">
        <v>114</v>
      </c>
      <c r="C46" s="1">
        <v>45292</v>
      </c>
      <c r="D46">
        <v>51473</v>
      </c>
      <c r="E46" t="s">
        <v>16</v>
      </c>
      <c r="F46" t="s">
        <v>52</v>
      </c>
      <c r="G46" t="s">
        <v>43</v>
      </c>
      <c r="H46" t="s">
        <v>26</v>
      </c>
      <c r="I46" t="str">
        <f t="shared" si="3"/>
        <v>Monday</v>
      </c>
      <c r="J46" t="str">
        <f t="shared" si="0"/>
        <v>Weekday</v>
      </c>
      <c r="K46" t="str">
        <f t="shared" si="1"/>
        <v>High Value</v>
      </c>
      <c r="L46" t="str">
        <f t="shared" si="2"/>
        <v>Normal</v>
      </c>
    </row>
    <row r="47" spans="1:12" x14ac:dyDescent="0.25">
      <c r="A47" t="s">
        <v>115</v>
      </c>
      <c r="B47" t="s">
        <v>116</v>
      </c>
      <c r="C47" s="1">
        <v>45385</v>
      </c>
      <c r="D47">
        <v>102976</v>
      </c>
      <c r="E47" t="s">
        <v>37</v>
      </c>
      <c r="F47" t="s">
        <v>38</v>
      </c>
      <c r="G47" t="s">
        <v>12</v>
      </c>
      <c r="H47" t="s">
        <v>13</v>
      </c>
      <c r="I47" t="str">
        <f t="shared" si="3"/>
        <v>Wednesday</v>
      </c>
      <c r="J47" t="str">
        <f t="shared" si="0"/>
        <v>Weekday</v>
      </c>
      <c r="K47" t="str">
        <f t="shared" si="1"/>
        <v>High Value</v>
      </c>
      <c r="L47" t="str">
        <f t="shared" si="2"/>
        <v>Suspicious</v>
      </c>
    </row>
    <row r="48" spans="1:12" x14ac:dyDescent="0.25">
      <c r="A48" t="s">
        <v>117</v>
      </c>
      <c r="B48" t="s">
        <v>63</v>
      </c>
      <c r="C48" s="1">
        <v>45299</v>
      </c>
      <c r="D48">
        <v>76214</v>
      </c>
      <c r="E48" t="s">
        <v>32</v>
      </c>
      <c r="F48" t="s">
        <v>79</v>
      </c>
      <c r="G48" t="s">
        <v>25</v>
      </c>
      <c r="H48" t="s">
        <v>26</v>
      </c>
      <c r="I48" t="str">
        <f t="shared" si="3"/>
        <v>Monday</v>
      </c>
      <c r="J48" t="str">
        <f t="shared" si="0"/>
        <v>Weekday</v>
      </c>
      <c r="K48" t="str">
        <f t="shared" si="1"/>
        <v>High Value</v>
      </c>
      <c r="L48" t="str">
        <f t="shared" si="2"/>
        <v>Suspicious</v>
      </c>
    </row>
    <row r="49" spans="1:12" x14ac:dyDescent="0.25">
      <c r="A49" t="s">
        <v>118</v>
      </c>
      <c r="B49" t="s">
        <v>119</v>
      </c>
      <c r="C49" s="1">
        <v>45366</v>
      </c>
      <c r="D49">
        <v>62793</v>
      </c>
      <c r="E49" t="s">
        <v>41</v>
      </c>
      <c r="F49" t="s">
        <v>98</v>
      </c>
      <c r="G49" t="s">
        <v>34</v>
      </c>
      <c r="H49" t="s">
        <v>13</v>
      </c>
      <c r="I49" t="str">
        <f t="shared" si="3"/>
        <v>Friday</v>
      </c>
      <c r="J49" t="str">
        <f t="shared" si="0"/>
        <v>Weekday</v>
      </c>
      <c r="K49" t="str">
        <f t="shared" si="1"/>
        <v>High Value</v>
      </c>
      <c r="L49" t="str">
        <f t="shared" si="2"/>
        <v>Normal</v>
      </c>
    </row>
    <row r="50" spans="1:12" x14ac:dyDescent="0.25">
      <c r="A50" t="s">
        <v>120</v>
      </c>
      <c r="B50" t="s">
        <v>48</v>
      </c>
      <c r="C50" s="1">
        <v>45368</v>
      </c>
      <c r="D50">
        <v>9207</v>
      </c>
      <c r="E50" t="s">
        <v>16</v>
      </c>
      <c r="F50" t="s">
        <v>17</v>
      </c>
      <c r="G50" t="s">
        <v>12</v>
      </c>
      <c r="H50" t="s">
        <v>26</v>
      </c>
      <c r="I50" t="str">
        <f t="shared" si="3"/>
        <v>Sunday</v>
      </c>
      <c r="J50" t="str">
        <f t="shared" si="0"/>
        <v>Weekend</v>
      </c>
      <c r="K50" t="str">
        <f t="shared" si="1"/>
        <v>Normal</v>
      </c>
      <c r="L50" t="str">
        <f t="shared" si="2"/>
        <v>Normal</v>
      </c>
    </row>
    <row r="51" spans="1:12" x14ac:dyDescent="0.25">
      <c r="A51" t="s">
        <v>121</v>
      </c>
      <c r="B51" t="s">
        <v>88</v>
      </c>
      <c r="C51" s="1">
        <v>45323</v>
      </c>
      <c r="D51">
        <v>76180</v>
      </c>
      <c r="E51" t="s">
        <v>41</v>
      </c>
      <c r="F51" t="s">
        <v>42</v>
      </c>
      <c r="G51" t="s">
        <v>18</v>
      </c>
      <c r="H51" t="s">
        <v>13</v>
      </c>
      <c r="I51" t="str">
        <f t="shared" si="3"/>
        <v>Thursday</v>
      </c>
      <c r="J51" t="str">
        <f t="shared" si="0"/>
        <v>Weekday</v>
      </c>
      <c r="K51" t="str">
        <f t="shared" si="1"/>
        <v>High Value</v>
      </c>
      <c r="L51" t="str">
        <f t="shared" si="2"/>
        <v>Suspicious</v>
      </c>
    </row>
    <row r="52" spans="1:12" x14ac:dyDescent="0.25">
      <c r="A52" t="s">
        <v>122</v>
      </c>
      <c r="B52" t="s">
        <v>123</v>
      </c>
      <c r="C52" s="1">
        <v>45366</v>
      </c>
      <c r="D52">
        <v>74385</v>
      </c>
      <c r="E52" t="s">
        <v>37</v>
      </c>
      <c r="F52" t="s">
        <v>38</v>
      </c>
      <c r="G52" t="s">
        <v>50</v>
      </c>
      <c r="H52" t="s">
        <v>13</v>
      </c>
      <c r="I52" t="str">
        <f t="shared" si="3"/>
        <v>Friday</v>
      </c>
      <c r="J52" t="str">
        <f t="shared" si="0"/>
        <v>Weekday</v>
      </c>
      <c r="K52" t="str">
        <f t="shared" si="1"/>
        <v>High Value</v>
      </c>
      <c r="L52" t="str">
        <f t="shared" si="2"/>
        <v>Normal</v>
      </c>
    </row>
    <row r="53" spans="1:12" x14ac:dyDescent="0.25">
      <c r="A53" t="s">
        <v>124</v>
      </c>
      <c r="B53" t="s">
        <v>125</v>
      </c>
      <c r="C53" s="1">
        <v>45332</v>
      </c>
      <c r="D53">
        <v>31585</v>
      </c>
      <c r="E53" t="s">
        <v>10</v>
      </c>
      <c r="F53" t="s">
        <v>11</v>
      </c>
      <c r="G53" t="s">
        <v>43</v>
      </c>
      <c r="H53" t="s">
        <v>13</v>
      </c>
      <c r="I53" t="str">
        <f t="shared" si="3"/>
        <v>Saturday</v>
      </c>
      <c r="J53" t="str">
        <f t="shared" si="0"/>
        <v>Weekend</v>
      </c>
      <c r="K53" t="str">
        <f t="shared" si="1"/>
        <v>Normal</v>
      </c>
      <c r="L53" t="str">
        <f t="shared" si="2"/>
        <v>Normal</v>
      </c>
    </row>
    <row r="54" spans="1:12" x14ac:dyDescent="0.25">
      <c r="A54" t="s">
        <v>126</v>
      </c>
      <c r="B54" t="s">
        <v>65</v>
      </c>
      <c r="C54" s="1">
        <v>45330</v>
      </c>
      <c r="D54">
        <v>60229</v>
      </c>
      <c r="E54" t="s">
        <v>10</v>
      </c>
      <c r="F54" t="s">
        <v>11</v>
      </c>
      <c r="G54" t="s">
        <v>34</v>
      </c>
      <c r="H54" t="s">
        <v>13</v>
      </c>
      <c r="I54" t="str">
        <f t="shared" si="3"/>
        <v>Thursday</v>
      </c>
      <c r="J54" t="str">
        <f t="shared" si="0"/>
        <v>Weekday</v>
      </c>
      <c r="K54" t="str">
        <f t="shared" si="1"/>
        <v>High Value</v>
      </c>
      <c r="L54" t="str">
        <f t="shared" si="2"/>
        <v>Normal</v>
      </c>
    </row>
    <row r="55" spans="1:12" x14ac:dyDescent="0.25">
      <c r="A55" t="s">
        <v>127</v>
      </c>
      <c r="B55" t="s">
        <v>128</v>
      </c>
      <c r="C55" s="1">
        <v>45364</v>
      </c>
      <c r="D55">
        <v>13404</v>
      </c>
      <c r="E55" t="s">
        <v>37</v>
      </c>
      <c r="F55" t="s">
        <v>58</v>
      </c>
      <c r="G55" t="s">
        <v>18</v>
      </c>
      <c r="H55" t="s">
        <v>13</v>
      </c>
      <c r="I55" t="str">
        <f t="shared" si="3"/>
        <v>Wednesday</v>
      </c>
      <c r="J55" t="str">
        <f t="shared" si="0"/>
        <v>Weekday</v>
      </c>
      <c r="K55" t="str">
        <f t="shared" si="1"/>
        <v>Normal</v>
      </c>
      <c r="L55" t="str">
        <f t="shared" si="2"/>
        <v>Normal</v>
      </c>
    </row>
    <row r="56" spans="1:12" x14ac:dyDescent="0.25">
      <c r="A56" t="s">
        <v>129</v>
      </c>
      <c r="B56" t="s">
        <v>75</v>
      </c>
      <c r="C56" s="1">
        <v>45308</v>
      </c>
      <c r="D56">
        <v>46045</v>
      </c>
      <c r="E56" t="s">
        <v>21</v>
      </c>
      <c r="F56" t="s">
        <v>22</v>
      </c>
      <c r="G56" t="s">
        <v>12</v>
      </c>
      <c r="H56" t="s">
        <v>26</v>
      </c>
      <c r="I56" t="str">
        <f t="shared" si="3"/>
        <v>Wednesday</v>
      </c>
      <c r="J56" t="str">
        <f t="shared" si="0"/>
        <v>Weekday</v>
      </c>
      <c r="K56" t="str">
        <f t="shared" si="1"/>
        <v>Normal</v>
      </c>
      <c r="L56" t="str">
        <f t="shared" si="2"/>
        <v>Normal</v>
      </c>
    </row>
    <row r="57" spans="1:12" x14ac:dyDescent="0.25">
      <c r="A57" t="s">
        <v>130</v>
      </c>
      <c r="B57" t="s">
        <v>131</v>
      </c>
      <c r="C57" s="1">
        <v>45348</v>
      </c>
      <c r="D57">
        <v>109580</v>
      </c>
      <c r="E57" t="s">
        <v>32</v>
      </c>
      <c r="F57" t="s">
        <v>33</v>
      </c>
      <c r="G57" t="s">
        <v>18</v>
      </c>
      <c r="H57" t="s">
        <v>13</v>
      </c>
      <c r="I57" t="str">
        <f t="shared" si="3"/>
        <v>Monday</v>
      </c>
      <c r="J57" t="str">
        <f t="shared" si="0"/>
        <v>Weekday</v>
      </c>
      <c r="K57" t="str">
        <f t="shared" si="1"/>
        <v>High Value</v>
      </c>
      <c r="L57" t="str">
        <f t="shared" si="2"/>
        <v>Suspicious</v>
      </c>
    </row>
    <row r="58" spans="1:12" x14ac:dyDescent="0.25">
      <c r="A58" t="s">
        <v>132</v>
      </c>
      <c r="B58" t="s">
        <v>67</v>
      </c>
      <c r="C58" s="1">
        <v>45330</v>
      </c>
      <c r="D58">
        <v>87251</v>
      </c>
      <c r="E58" t="s">
        <v>10</v>
      </c>
      <c r="F58" t="s">
        <v>49</v>
      </c>
      <c r="G58" t="s">
        <v>12</v>
      </c>
      <c r="H58" t="s">
        <v>26</v>
      </c>
      <c r="I58" t="str">
        <f t="shared" si="3"/>
        <v>Thursday</v>
      </c>
      <c r="J58" t="str">
        <f t="shared" si="0"/>
        <v>Weekday</v>
      </c>
      <c r="K58" t="str">
        <f t="shared" si="1"/>
        <v>High Value</v>
      </c>
      <c r="L58" t="str">
        <f t="shared" si="2"/>
        <v>Suspicious</v>
      </c>
    </row>
    <row r="59" spans="1:12" x14ac:dyDescent="0.25">
      <c r="A59" t="s">
        <v>133</v>
      </c>
      <c r="B59" t="s">
        <v>36</v>
      </c>
      <c r="C59" s="1">
        <v>45387</v>
      </c>
      <c r="D59">
        <v>72812</v>
      </c>
      <c r="E59" t="s">
        <v>41</v>
      </c>
      <c r="F59" t="s">
        <v>98</v>
      </c>
      <c r="G59" t="s">
        <v>50</v>
      </c>
      <c r="H59" t="s">
        <v>26</v>
      </c>
      <c r="I59" t="str">
        <f t="shared" si="3"/>
        <v>Friday</v>
      </c>
      <c r="J59" t="str">
        <f t="shared" si="0"/>
        <v>Weekday</v>
      </c>
      <c r="K59" t="str">
        <f t="shared" si="1"/>
        <v>High Value</v>
      </c>
      <c r="L59" t="str">
        <f t="shared" si="2"/>
        <v>Normal</v>
      </c>
    </row>
    <row r="60" spans="1:12" x14ac:dyDescent="0.25">
      <c r="A60" t="s">
        <v>134</v>
      </c>
      <c r="B60" t="s">
        <v>63</v>
      </c>
      <c r="C60" s="1">
        <v>45383</v>
      </c>
      <c r="D60">
        <v>45242</v>
      </c>
      <c r="E60" t="s">
        <v>21</v>
      </c>
      <c r="F60" t="s">
        <v>22</v>
      </c>
      <c r="G60" t="s">
        <v>25</v>
      </c>
      <c r="H60" t="s">
        <v>26</v>
      </c>
      <c r="I60" t="str">
        <f t="shared" si="3"/>
        <v>Monday</v>
      </c>
      <c r="J60" t="str">
        <f t="shared" si="0"/>
        <v>Weekday</v>
      </c>
      <c r="K60" t="str">
        <f t="shared" si="1"/>
        <v>Normal</v>
      </c>
      <c r="L60" t="str">
        <f t="shared" si="2"/>
        <v>Normal</v>
      </c>
    </row>
    <row r="61" spans="1:12" x14ac:dyDescent="0.25">
      <c r="A61" t="s">
        <v>135</v>
      </c>
      <c r="B61" t="s">
        <v>136</v>
      </c>
      <c r="C61" s="1">
        <v>45324</v>
      </c>
      <c r="D61">
        <v>118964</v>
      </c>
      <c r="E61" t="s">
        <v>21</v>
      </c>
      <c r="F61" t="s">
        <v>22</v>
      </c>
      <c r="G61" t="s">
        <v>34</v>
      </c>
      <c r="H61" t="s">
        <v>26</v>
      </c>
      <c r="I61" t="str">
        <f t="shared" si="3"/>
        <v>Friday</v>
      </c>
      <c r="J61" t="str">
        <f t="shared" si="0"/>
        <v>Weekday</v>
      </c>
      <c r="K61" t="str">
        <f t="shared" si="1"/>
        <v>High Value</v>
      </c>
      <c r="L61" t="str">
        <f t="shared" si="2"/>
        <v>Suspicious</v>
      </c>
    </row>
    <row r="62" spans="1:12" x14ac:dyDescent="0.25">
      <c r="A62" t="s">
        <v>137</v>
      </c>
      <c r="B62" t="s">
        <v>138</v>
      </c>
      <c r="C62" s="1">
        <v>45292</v>
      </c>
      <c r="D62">
        <v>44019</v>
      </c>
      <c r="E62" t="s">
        <v>32</v>
      </c>
      <c r="F62" t="s">
        <v>139</v>
      </c>
      <c r="G62" t="s">
        <v>25</v>
      </c>
      <c r="H62" t="s">
        <v>26</v>
      </c>
      <c r="I62" t="str">
        <f t="shared" si="3"/>
        <v>Monday</v>
      </c>
      <c r="J62" t="str">
        <f t="shared" si="0"/>
        <v>Weekday</v>
      </c>
      <c r="K62" t="str">
        <f t="shared" si="1"/>
        <v>Normal</v>
      </c>
      <c r="L62" t="str">
        <f t="shared" si="2"/>
        <v>Normal</v>
      </c>
    </row>
    <row r="63" spans="1:12" x14ac:dyDescent="0.25">
      <c r="A63" t="s">
        <v>140</v>
      </c>
      <c r="B63" t="s">
        <v>15</v>
      </c>
      <c r="C63" s="1">
        <v>45348</v>
      </c>
      <c r="D63">
        <v>72609</v>
      </c>
      <c r="E63" t="s">
        <v>16</v>
      </c>
      <c r="F63" t="s">
        <v>17</v>
      </c>
      <c r="G63" t="s">
        <v>43</v>
      </c>
      <c r="H63" t="s">
        <v>13</v>
      </c>
      <c r="I63" t="str">
        <f t="shared" si="3"/>
        <v>Monday</v>
      </c>
      <c r="J63" t="str">
        <f t="shared" si="0"/>
        <v>Weekday</v>
      </c>
      <c r="K63" t="str">
        <f t="shared" si="1"/>
        <v>High Value</v>
      </c>
      <c r="L63" t="str">
        <f t="shared" si="2"/>
        <v>Normal</v>
      </c>
    </row>
    <row r="64" spans="1:12" x14ac:dyDescent="0.25">
      <c r="A64" t="s">
        <v>141</v>
      </c>
      <c r="B64" t="s">
        <v>48</v>
      </c>
      <c r="C64" s="1">
        <v>45412</v>
      </c>
      <c r="D64">
        <v>116050</v>
      </c>
      <c r="E64" t="s">
        <v>41</v>
      </c>
      <c r="F64" t="s">
        <v>98</v>
      </c>
      <c r="G64" t="s">
        <v>18</v>
      </c>
      <c r="H64" t="s">
        <v>13</v>
      </c>
      <c r="I64" t="str">
        <f t="shared" si="3"/>
        <v>Tuesday</v>
      </c>
      <c r="J64" t="str">
        <f t="shared" si="0"/>
        <v>Weekday</v>
      </c>
      <c r="K64" t="str">
        <f t="shared" si="1"/>
        <v>High Value</v>
      </c>
      <c r="L64" t="str">
        <f t="shared" si="2"/>
        <v>Suspicious</v>
      </c>
    </row>
    <row r="65" spans="1:12" x14ac:dyDescent="0.25">
      <c r="A65" t="s">
        <v>142</v>
      </c>
      <c r="B65" t="s">
        <v>97</v>
      </c>
      <c r="C65" s="1">
        <v>45362</v>
      </c>
      <c r="D65">
        <v>19710</v>
      </c>
      <c r="E65" t="s">
        <v>32</v>
      </c>
      <c r="F65" t="s">
        <v>92</v>
      </c>
      <c r="G65" t="s">
        <v>12</v>
      </c>
      <c r="H65" t="s">
        <v>13</v>
      </c>
      <c r="I65" t="str">
        <f t="shared" si="3"/>
        <v>Monday</v>
      </c>
      <c r="J65" t="str">
        <f t="shared" si="0"/>
        <v>Weekday</v>
      </c>
      <c r="K65" t="str">
        <f t="shared" si="1"/>
        <v>Normal</v>
      </c>
      <c r="L65" t="str">
        <f t="shared" si="2"/>
        <v>Normal</v>
      </c>
    </row>
    <row r="66" spans="1:12" x14ac:dyDescent="0.25">
      <c r="A66" t="s">
        <v>143</v>
      </c>
      <c r="B66" t="s">
        <v>54</v>
      </c>
      <c r="C66" s="1">
        <v>45407</v>
      </c>
      <c r="D66">
        <v>104649</v>
      </c>
      <c r="E66" t="s">
        <v>32</v>
      </c>
      <c r="F66" t="s">
        <v>79</v>
      </c>
      <c r="G66" t="s">
        <v>50</v>
      </c>
      <c r="H66" t="s">
        <v>13</v>
      </c>
      <c r="I66" t="str">
        <f t="shared" si="3"/>
        <v>Thursday</v>
      </c>
      <c r="J66" t="str">
        <f t="shared" si="0"/>
        <v>Weekday</v>
      </c>
      <c r="K66" t="str">
        <f t="shared" si="1"/>
        <v>High Value</v>
      </c>
      <c r="L66" t="str">
        <f t="shared" si="2"/>
        <v>Suspicious</v>
      </c>
    </row>
    <row r="67" spans="1:12" x14ac:dyDescent="0.25">
      <c r="A67" t="s">
        <v>144</v>
      </c>
      <c r="B67" t="s">
        <v>109</v>
      </c>
      <c r="C67" s="1">
        <v>45377</v>
      </c>
      <c r="D67">
        <v>13773</v>
      </c>
      <c r="E67" t="s">
        <v>10</v>
      </c>
      <c r="F67" t="s">
        <v>11</v>
      </c>
      <c r="G67" t="s">
        <v>18</v>
      </c>
      <c r="H67" t="s">
        <v>26</v>
      </c>
      <c r="I67" t="str">
        <f t="shared" si="3"/>
        <v>Tuesday</v>
      </c>
      <c r="J67" t="str">
        <f t="shared" ref="J67:J130" si="4">IF(OR(I67="Saturday",I67="Sunday"),"Weekend","Weekday")</f>
        <v>Weekday</v>
      </c>
      <c r="K67" t="str">
        <f t="shared" ref="K67:K130" si="5">IF(D67&gt;50000,"High Value","Normal")</f>
        <v>Normal</v>
      </c>
      <c r="L67" t="str">
        <f t="shared" ref="L67:L130" si="6">IF(D67&gt;75000,"Suspicious","Normal")</f>
        <v>Normal</v>
      </c>
    </row>
    <row r="68" spans="1:12" x14ac:dyDescent="0.25">
      <c r="A68" t="s">
        <v>145</v>
      </c>
      <c r="B68" t="s">
        <v>15</v>
      </c>
      <c r="C68" s="1">
        <v>45311</v>
      </c>
      <c r="D68">
        <v>31329</v>
      </c>
      <c r="E68" t="s">
        <v>21</v>
      </c>
      <c r="F68" t="s">
        <v>22</v>
      </c>
      <c r="G68" t="s">
        <v>12</v>
      </c>
      <c r="H68" t="s">
        <v>26</v>
      </c>
      <c r="I68" t="str">
        <f t="shared" si="3"/>
        <v>Saturday</v>
      </c>
      <c r="J68" t="str">
        <f t="shared" si="4"/>
        <v>Weekend</v>
      </c>
      <c r="K68" t="str">
        <f t="shared" si="5"/>
        <v>Normal</v>
      </c>
      <c r="L68" t="str">
        <f t="shared" si="6"/>
        <v>Normal</v>
      </c>
    </row>
    <row r="69" spans="1:12" x14ac:dyDescent="0.25">
      <c r="A69" t="s">
        <v>146</v>
      </c>
      <c r="B69" t="s">
        <v>147</v>
      </c>
      <c r="C69" s="1">
        <v>45386</v>
      </c>
      <c r="D69">
        <v>43840</v>
      </c>
      <c r="E69" t="s">
        <v>41</v>
      </c>
      <c r="F69" t="s">
        <v>101</v>
      </c>
      <c r="G69" t="s">
        <v>25</v>
      </c>
      <c r="H69" t="s">
        <v>13</v>
      </c>
      <c r="I69" t="str">
        <f t="shared" ref="I69:I132" si="7">TEXT(C69,"dddd")</f>
        <v>Thursday</v>
      </c>
      <c r="J69" t="str">
        <f t="shared" si="4"/>
        <v>Weekday</v>
      </c>
      <c r="K69" t="str">
        <f t="shared" si="5"/>
        <v>Normal</v>
      </c>
      <c r="L69" t="str">
        <f t="shared" si="6"/>
        <v>Normal</v>
      </c>
    </row>
    <row r="70" spans="1:12" x14ac:dyDescent="0.25">
      <c r="A70" t="s">
        <v>148</v>
      </c>
      <c r="B70" t="s">
        <v>131</v>
      </c>
      <c r="C70" s="1">
        <v>45392</v>
      </c>
      <c r="D70">
        <v>92217</v>
      </c>
      <c r="E70" t="s">
        <v>32</v>
      </c>
      <c r="F70" t="s">
        <v>79</v>
      </c>
      <c r="G70" t="s">
        <v>43</v>
      </c>
      <c r="H70" t="s">
        <v>13</v>
      </c>
      <c r="I70" t="str">
        <f t="shared" si="7"/>
        <v>Wednesday</v>
      </c>
      <c r="J70" t="str">
        <f t="shared" si="4"/>
        <v>Weekday</v>
      </c>
      <c r="K70" t="str">
        <f t="shared" si="5"/>
        <v>High Value</v>
      </c>
      <c r="L70" t="str">
        <f t="shared" si="6"/>
        <v>Suspicious</v>
      </c>
    </row>
    <row r="71" spans="1:12" x14ac:dyDescent="0.25">
      <c r="A71" t="s">
        <v>149</v>
      </c>
      <c r="B71" t="s">
        <v>60</v>
      </c>
      <c r="C71" s="1">
        <v>45317</v>
      </c>
      <c r="D71">
        <v>107331</v>
      </c>
      <c r="E71" t="s">
        <v>37</v>
      </c>
      <c r="F71" t="s">
        <v>38</v>
      </c>
      <c r="G71" t="s">
        <v>50</v>
      </c>
      <c r="H71" t="s">
        <v>26</v>
      </c>
      <c r="I71" t="str">
        <f t="shared" si="7"/>
        <v>Friday</v>
      </c>
      <c r="J71" t="str">
        <f t="shared" si="4"/>
        <v>Weekday</v>
      </c>
      <c r="K71" t="str">
        <f t="shared" si="5"/>
        <v>High Value</v>
      </c>
      <c r="L71" t="str">
        <f t="shared" si="6"/>
        <v>Suspicious</v>
      </c>
    </row>
    <row r="72" spans="1:12" x14ac:dyDescent="0.25">
      <c r="A72" t="s">
        <v>150</v>
      </c>
      <c r="B72" t="s">
        <v>60</v>
      </c>
      <c r="C72" s="1">
        <v>45295</v>
      </c>
      <c r="D72">
        <v>86811</v>
      </c>
      <c r="E72" t="s">
        <v>16</v>
      </c>
      <c r="F72" t="s">
        <v>29</v>
      </c>
      <c r="G72" t="s">
        <v>43</v>
      </c>
      <c r="H72" t="s">
        <v>26</v>
      </c>
      <c r="I72" t="str">
        <f t="shared" si="7"/>
        <v>Thursday</v>
      </c>
      <c r="J72" t="str">
        <f t="shared" si="4"/>
        <v>Weekday</v>
      </c>
      <c r="K72" t="str">
        <f t="shared" si="5"/>
        <v>High Value</v>
      </c>
      <c r="L72" t="str">
        <f t="shared" si="6"/>
        <v>Suspicious</v>
      </c>
    </row>
    <row r="73" spans="1:12" x14ac:dyDescent="0.25">
      <c r="A73" t="s">
        <v>151</v>
      </c>
      <c r="B73" t="s">
        <v>48</v>
      </c>
      <c r="C73" s="1">
        <v>45390</v>
      </c>
      <c r="D73">
        <v>36885</v>
      </c>
      <c r="E73" t="s">
        <v>32</v>
      </c>
      <c r="F73" t="s">
        <v>33</v>
      </c>
      <c r="G73" t="s">
        <v>25</v>
      </c>
      <c r="H73" t="s">
        <v>26</v>
      </c>
      <c r="I73" t="str">
        <f t="shared" si="7"/>
        <v>Monday</v>
      </c>
      <c r="J73" t="str">
        <f t="shared" si="4"/>
        <v>Weekday</v>
      </c>
      <c r="K73" t="str">
        <f t="shared" si="5"/>
        <v>Normal</v>
      </c>
      <c r="L73" t="str">
        <f t="shared" si="6"/>
        <v>Normal</v>
      </c>
    </row>
    <row r="74" spans="1:12" x14ac:dyDescent="0.25">
      <c r="A74" t="s">
        <v>152</v>
      </c>
      <c r="B74" t="s">
        <v>77</v>
      </c>
      <c r="C74" s="1">
        <v>45334</v>
      </c>
      <c r="D74">
        <v>3917</v>
      </c>
      <c r="E74" t="s">
        <v>10</v>
      </c>
      <c r="F74" t="s">
        <v>49</v>
      </c>
      <c r="G74" t="s">
        <v>50</v>
      </c>
      <c r="H74" t="s">
        <v>13</v>
      </c>
      <c r="I74" t="str">
        <f t="shared" si="7"/>
        <v>Monday</v>
      </c>
      <c r="J74" t="str">
        <f t="shared" si="4"/>
        <v>Weekday</v>
      </c>
      <c r="K74" t="str">
        <f t="shared" si="5"/>
        <v>Normal</v>
      </c>
      <c r="L74" t="str">
        <f t="shared" si="6"/>
        <v>Normal</v>
      </c>
    </row>
    <row r="75" spans="1:12" x14ac:dyDescent="0.25">
      <c r="A75" t="s">
        <v>153</v>
      </c>
      <c r="B75" t="s">
        <v>75</v>
      </c>
      <c r="C75" s="1">
        <v>45296</v>
      </c>
      <c r="D75">
        <v>14508</v>
      </c>
      <c r="E75" t="s">
        <v>21</v>
      </c>
      <c r="F75" t="s">
        <v>46</v>
      </c>
      <c r="G75" t="s">
        <v>50</v>
      </c>
      <c r="H75" t="s">
        <v>26</v>
      </c>
      <c r="I75" t="str">
        <f t="shared" si="7"/>
        <v>Friday</v>
      </c>
      <c r="J75" t="str">
        <f t="shared" si="4"/>
        <v>Weekday</v>
      </c>
      <c r="K75" t="str">
        <f t="shared" si="5"/>
        <v>Normal</v>
      </c>
      <c r="L75" t="str">
        <f t="shared" si="6"/>
        <v>Normal</v>
      </c>
    </row>
    <row r="76" spans="1:12" x14ac:dyDescent="0.25">
      <c r="A76" t="s">
        <v>154</v>
      </c>
      <c r="B76" t="s">
        <v>24</v>
      </c>
      <c r="C76" s="1">
        <v>45357</v>
      </c>
      <c r="D76">
        <v>15457</v>
      </c>
      <c r="E76" t="s">
        <v>37</v>
      </c>
      <c r="F76" t="s">
        <v>38</v>
      </c>
      <c r="G76" t="s">
        <v>18</v>
      </c>
      <c r="H76" t="s">
        <v>13</v>
      </c>
      <c r="I76" t="str">
        <f t="shared" si="7"/>
        <v>Wednesday</v>
      </c>
      <c r="J76" t="str">
        <f t="shared" si="4"/>
        <v>Weekday</v>
      </c>
      <c r="K76" t="str">
        <f t="shared" si="5"/>
        <v>Normal</v>
      </c>
      <c r="L76" t="str">
        <f t="shared" si="6"/>
        <v>Normal</v>
      </c>
    </row>
    <row r="77" spans="1:12" x14ac:dyDescent="0.25">
      <c r="A77" t="s">
        <v>155</v>
      </c>
      <c r="B77" t="s">
        <v>138</v>
      </c>
      <c r="C77" s="1">
        <v>45382</v>
      </c>
      <c r="D77">
        <v>57454</v>
      </c>
      <c r="E77" t="s">
        <v>32</v>
      </c>
      <c r="F77" t="s">
        <v>79</v>
      </c>
      <c r="G77" t="s">
        <v>18</v>
      </c>
      <c r="H77" t="s">
        <v>13</v>
      </c>
      <c r="I77" t="str">
        <f t="shared" si="7"/>
        <v>Sunday</v>
      </c>
      <c r="J77" t="str">
        <f t="shared" si="4"/>
        <v>Weekend</v>
      </c>
      <c r="K77" t="str">
        <f t="shared" si="5"/>
        <v>High Value</v>
      </c>
      <c r="L77" t="str">
        <f t="shared" si="6"/>
        <v>Normal</v>
      </c>
    </row>
    <row r="78" spans="1:12" x14ac:dyDescent="0.25">
      <c r="A78" t="s">
        <v>156</v>
      </c>
      <c r="B78" t="s">
        <v>20</v>
      </c>
      <c r="C78" s="1">
        <v>45300</v>
      </c>
      <c r="D78">
        <v>87362</v>
      </c>
      <c r="E78" t="s">
        <v>32</v>
      </c>
      <c r="F78" t="s">
        <v>33</v>
      </c>
      <c r="G78" t="s">
        <v>18</v>
      </c>
      <c r="H78" t="s">
        <v>26</v>
      </c>
      <c r="I78" t="str">
        <f t="shared" si="7"/>
        <v>Tuesday</v>
      </c>
      <c r="J78" t="str">
        <f t="shared" si="4"/>
        <v>Weekday</v>
      </c>
      <c r="K78" t="str">
        <f t="shared" si="5"/>
        <v>High Value</v>
      </c>
      <c r="L78" t="str">
        <f t="shared" si="6"/>
        <v>Suspicious</v>
      </c>
    </row>
    <row r="79" spans="1:12" x14ac:dyDescent="0.25">
      <c r="A79" t="s">
        <v>157</v>
      </c>
      <c r="B79" t="s">
        <v>9</v>
      </c>
      <c r="C79" s="1">
        <v>45384</v>
      </c>
      <c r="D79">
        <v>118270</v>
      </c>
      <c r="E79" t="s">
        <v>10</v>
      </c>
      <c r="F79" t="s">
        <v>11</v>
      </c>
      <c r="G79" t="s">
        <v>18</v>
      </c>
      <c r="H79" t="s">
        <v>26</v>
      </c>
      <c r="I79" t="str">
        <f t="shared" si="7"/>
        <v>Tuesday</v>
      </c>
      <c r="J79" t="str">
        <f t="shared" si="4"/>
        <v>Weekday</v>
      </c>
      <c r="K79" t="str">
        <f t="shared" si="5"/>
        <v>High Value</v>
      </c>
      <c r="L79" t="str">
        <f t="shared" si="6"/>
        <v>Suspicious</v>
      </c>
    </row>
    <row r="80" spans="1:12" x14ac:dyDescent="0.25">
      <c r="A80" t="s">
        <v>158</v>
      </c>
      <c r="B80" t="s">
        <v>112</v>
      </c>
      <c r="C80" s="1">
        <v>45333</v>
      </c>
      <c r="D80">
        <v>53043</v>
      </c>
      <c r="E80" t="s">
        <v>10</v>
      </c>
      <c r="F80" t="s">
        <v>68</v>
      </c>
      <c r="G80" t="s">
        <v>50</v>
      </c>
      <c r="H80" t="s">
        <v>13</v>
      </c>
      <c r="I80" t="str">
        <f t="shared" si="7"/>
        <v>Sunday</v>
      </c>
      <c r="J80" t="str">
        <f t="shared" si="4"/>
        <v>Weekend</v>
      </c>
      <c r="K80" t="str">
        <f t="shared" si="5"/>
        <v>High Value</v>
      </c>
      <c r="L80" t="str">
        <f t="shared" si="6"/>
        <v>Normal</v>
      </c>
    </row>
    <row r="81" spans="1:12" x14ac:dyDescent="0.25">
      <c r="A81" t="s">
        <v>159</v>
      </c>
      <c r="B81" t="s">
        <v>112</v>
      </c>
      <c r="C81" s="1">
        <v>45377</v>
      </c>
      <c r="D81">
        <v>49995</v>
      </c>
      <c r="E81" t="s">
        <v>16</v>
      </c>
      <c r="F81" t="s">
        <v>17</v>
      </c>
      <c r="G81" t="s">
        <v>25</v>
      </c>
      <c r="H81" t="s">
        <v>13</v>
      </c>
      <c r="I81" t="str">
        <f t="shared" si="7"/>
        <v>Tuesday</v>
      </c>
      <c r="J81" t="str">
        <f t="shared" si="4"/>
        <v>Weekday</v>
      </c>
      <c r="K81" t="str">
        <f t="shared" si="5"/>
        <v>Normal</v>
      </c>
      <c r="L81" t="str">
        <f t="shared" si="6"/>
        <v>Normal</v>
      </c>
    </row>
    <row r="82" spans="1:12" x14ac:dyDescent="0.25">
      <c r="A82" t="s">
        <v>160</v>
      </c>
      <c r="B82" t="s">
        <v>88</v>
      </c>
      <c r="C82" s="1">
        <v>45330</v>
      </c>
      <c r="D82">
        <v>53525</v>
      </c>
      <c r="E82" t="s">
        <v>21</v>
      </c>
      <c r="F82" t="s">
        <v>22</v>
      </c>
      <c r="G82" t="s">
        <v>50</v>
      </c>
      <c r="H82" t="s">
        <v>26</v>
      </c>
      <c r="I82" t="str">
        <f t="shared" si="7"/>
        <v>Thursday</v>
      </c>
      <c r="J82" t="str">
        <f t="shared" si="4"/>
        <v>Weekday</v>
      </c>
      <c r="K82" t="str">
        <f t="shared" si="5"/>
        <v>High Value</v>
      </c>
      <c r="L82" t="str">
        <f t="shared" si="6"/>
        <v>Normal</v>
      </c>
    </row>
    <row r="83" spans="1:12" x14ac:dyDescent="0.25">
      <c r="A83" t="s">
        <v>161</v>
      </c>
      <c r="B83" t="s">
        <v>20</v>
      </c>
      <c r="C83" s="1">
        <v>45392</v>
      </c>
      <c r="D83">
        <v>76319</v>
      </c>
      <c r="E83" t="s">
        <v>16</v>
      </c>
      <c r="F83" t="s">
        <v>17</v>
      </c>
      <c r="G83" t="s">
        <v>25</v>
      </c>
      <c r="H83" t="s">
        <v>26</v>
      </c>
      <c r="I83" t="str">
        <f t="shared" si="7"/>
        <v>Wednesday</v>
      </c>
      <c r="J83" t="str">
        <f t="shared" si="4"/>
        <v>Weekday</v>
      </c>
      <c r="K83" t="str">
        <f t="shared" si="5"/>
        <v>High Value</v>
      </c>
      <c r="L83" t="str">
        <f t="shared" si="6"/>
        <v>Suspicious</v>
      </c>
    </row>
    <row r="84" spans="1:12" x14ac:dyDescent="0.25">
      <c r="A84" t="s">
        <v>162</v>
      </c>
      <c r="B84" t="s">
        <v>28</v>
      </c>
      <c r="C84" s="1">
        <v>45348</v>
      </c>
      <c r="D84">
        <v>88855</v>
      </c>
      <c r="E84" t="s">
        <v>37</v>
      </c>
      <c r="F84" t="s">
        <v>58</v>
      </c>
      <c r="G84" t="s">
        <v>18</v>
      </c>
      <c r="H84" t="s">
        <v>26</v>
      </c>
      <c r="I84" t="str">
        <f t="shared" si="7"/>
        <v>Monday</v>
      </c>
      <c r="J84" t="str">
        <f t="shared" si="4"/>
        <v>Weekday</v>
      </c>
      <c r="K84" t="str">
        <f t="shared" si="5"/>
        <v>High Value</v>
      </c>
      <c r="L84" t="str">
        <f t="shared" si="6"/>
        <v>Suspicious</v>
      </c>
    </row>
    <row r="85" spans="1:12" x14ac:dyDescent="0.25">
      <c r="A85" t="s">
        <v>163</v>
      </c>
      <c r="B85" t="s">
        <v>131</v>
      </c>
      <c r="C85" s="1">
        <v>45376</v>
      </c>
      <c r="D85">
        <v>11414</v>
      </c>
      <c r="E85" t="s">
        <v>10</v>
      </c>
      <c r="F85" t="s">
        <v>11</v>
      </c>
      <c r="G85" t="s">
        <v>18</v>
      </c>
      <c r="H85" t="s">
        <v>26</v>
      </c>
      <c r="I85" t="str">
        <f t="shared" si="7"/>
        <v>Monday</v>
      </c>
      <c r="J85" t="str">
        <f t="shared" si="4"/>
        <v>Weekday</v>
      </c>
      <c r="K85" t="str">
        <f t="shared" si="5"/>
        <v>Normal</v>
      </c>
      <c r="L85" t="str">
        <f t="shared" si="6"/>
        <v>Normal</v>
      </c>
    </row>
    <row r="86" spans="1:12" x14ac:dyDescent="0.25">
      <c r="A86" t="s">
        <v>164</v>
      </c>
      <c r="B86" t="s">
        <v>72</v>
      </c>
      <c r="C86" s="1">
        <v>45322</v>
      </c>
      <c r="D86">
        <v>88484</v>
      </c>
      <c r="E86" t="s">
        <v>41</v>
      </c>
      <c r="F86" t="s">
        <v>61</v>
      </c>
      <c r="G86" t="s">
        <v>12</v>
      </c>
      <c r="H86" t="s">
        <v>13</v>
      </c>
      <c r="I86" t="str">
        <f t="shared" si="7"/>
        <v>Wednesday</v>
      </c>
      <c r="J86" t="str">
        <f t="shared" si="4"/>
        <v>Weekday</v>
      </c>
      <c r="K86" t="str">
        <f t="shared" si="5"/>
        <v>High Value</v>
      </c>
      <c r="L86" t="str">
        <f t="shared" si="6"/>
        <v>Suspicious</v>
      </c>
    </row>
    <row r="87" spans="1:12" x14ac:dyDescent="0.25">
      <c r="A87" t="s">
        <v>165</v>
      </c>
      <c r="B87" t="s">
        <v>86</v>
      </c>
      <c r="C87" s="1">
        <v>45297</v>
      </c>
      <c r="D87">
        <v>32392</v>
      </c>
      <c r="E87" t="s">
        <v>16</v>
      </c>
      <c r="F87" t="s">
        <v>52</v>
      </c>
      <c r="G87" t="s">
        <v>18</v>
      </c>
      <c r="H87" t="s">
        <v>13</v>
      </c>
      <c r="I87" t="str">
        <f t="shared" si="7"/>
        <v>Saturday</v>
      </c>
      <c r="J87" t="str">
        <f t="shared" si="4"/>
        <v>Weekend</v>
      </c>
      <c r="K87" t="str">
        <f t="shared" si="5"/>
        <v>Normal</v>
      </c>
      <c r="L87" t="str">
        <f t="shared" si="6"/>
        <v>Normal</v>
      </c>
    </row>
    <row r="88" spans="1:12" x14ac:dyDescent="0.25">
      <c r="A88" t="s">
        <v>166</v>
      </c>
      <c r="B88" t="s">
        <v>112</v>
      </c>
      <c r="C88" s="1">
        <v>45405</v>
      </c>
      <c r="D88">
        <v>82844</v>
      </c>
      <c r="E88" t="s">
        <v>37</v>
      </c>
      <c r="F88" t="s">
        <v>58</v>
      </c>
      <c r="G88" t="s">
        <v>25</v>
      </c>
      <c r="H88" t="s">
        <v>26</v>
      </c>
      <c r="I88" t="str">
        <f t="shared" si="7"/>
        <v>Tuesday</v>
      </c>
      <c r="J88" t="str">
        <f t="shared" si="4"/>
        <v>Weekday</v>
      </c>
      <c r="K88" t="str">
        <f t="shared" si="5"/>
        <v>High Value</v>
      </c>
      <c r="L88" t="str">
        <f t="shared" si="6"/>
        <v>Suspicious</v>
      </c>
    </row>
    <row r="89" spans="1:12" x14ac:dyDescent="0.25">
      <c r="A89" t="s">
        <v>167</v>
      </c>
      <c r="B89" t="s">
        <v>70</v>
      </c>
      <c r="C89" s="1">
        <v>45323</v>
      </c>
      <c r="D89">
        <v>19642</v>
      </c>
      <c r="E89" t="s">
        <v>37</v>
      </c>
      <c r="F89" t="s">
        <v>58</v>
      </c>
      <c r="G89" t="s">
        <v>34</v>
      </c>
      <c r="H89" t="s">
        <v>26</v>
      </c>
      <c r="I89" t="str">
        <f t="shared" si="7"/>
        <v>Thursday</v>
      </c>
      <c r="J89" t="str">
        <f t="shared" si="4"/>
        <v>Weekday</v>
      </c>
      <c r="K89" t="str">
        <f t="shared" si="5"/>
        <v>Normal</v>
      </c>
      <c r="L89" t="str">
        <f t="shared" si="6"/>
        <v>Normal</v>
      </c>
    </row>
    <row r="90" spans="1:12" x14ac:dyDescent="0.25">
      <c r="A90" t="s">
        <v>168</v>
      </c>
      <c r="B90" t="s">
        <v>147</v>
      </c>
      <c r="C90" s="1">
        <v>45394</v>
      </c>
      <c r="D90">
        <v>91514</v>
      </c>
      <c r="E90" t="s">
        <v>16</v>
      </c>
      <c r="F90" t="s">
        <v>17</v>
      </c>
      <c r="G90" t="s">
        <v>43</v>
      </c>
      <c r="H90" t="s">
        <v>13</v>
      </c>
      <c r="I90" t="str">
        <f t="shared" si="7"/>
        <v>Friday</v>
      </c>
      <c r="J90" t="str">
        <f t="shared" si="4"/>
        <v>Weekday</v>
      </c>
      <c r="K90" t="str">
        <f t="shared" si="5"/>
        <v>High Value</v>
      </c>
      <c r="L90" t="str">
        <f t="shared" si="6"/>
        <v>Suspicious</v>
      </c>
    </row>
    <row r="91" spans="1:12" x14ac:dyDescent="0.25">
      <c r="A91" t="s">
        <v>169</v>
      </c>
      <c r="B91" t="s">
        <v>109</v>
      </c>
      <c r="C91" s="1">
        <v>45409</v>
      </c>
      <c r="D91">
        <v>111493</v>
      </c>
      <c r="E91" t="s">
        <v>21</v>
      </c>
      <c r="F91" t="s">
        <v>22</v>
      </c>
      <c r="G91" t="s">
        <v>43</v>
      </c>
      <c r="H91" t="s">
        <v>13</v>
      </c>
      <c r="I91" t="str">
        <f t="shared" si="7"/>
        <v>Saturday</v>
      </c>
      <c r="J91" t="str">
        <f t="shared" si="4"/>
        <v>Weekend</v>
      </c>
      <c r="K91" t="str">
        <f t="shared" si="5"/>
        <v>High Value</v>
      </c>
      <c r="L91" t="str">
        <f t="shared" si="6"/>
        <v>Suspicious</v>
      </c>
    </row>
    <row r="92" spans="1:12" x14ac:dyDescent="0.25">
      <c r="A92" t="s">
        <v>170</v>
      </c>
      <c r="B92" t="s">
        <v>123</v>
      </c>
      <c r="C92" s="1">
        <v>45359</v>
      </c>
      <c r="D92">
        <v>73559</v>
      </c>
      <c r="E92" t="s">
        <v>37</v>
      </c>
      <c r="F92" t="s">
        <v>38</v>
      </c>
      <c r="G92" t="s">
        <v>43</v>
      </c>
      <c r="H92" t="s">
        <v>26</v>
      </c>
      <c r="I92" t="str">
        <f t="shared" si="7"/>
        <v>Friday</v>
      </c>
      <c r="J92" t="str">
        <f t="shared" si="4"/>
        <v>Weekday</v>
      </c>
      <c r="K92" t="str">
        <f t="shared" si="5"/>
        <v>High Value</v>
      </c>
      <c r="L92" t="str">
        <f t="shared" si="6"/>
        <v>Normal</v>
      </c>
    </row>
    <row r="93" spans="1:12" x14ac:dyDescent="0.25">
      <c r="A93" t="s">
        <v>171</v>
      </c>
      <c r="B93" t="s">
        <v>28</v>
      </c>
      <c r="C93" s="1">
        <v>45406</v>
      </c>
      <c r="D93">
        <v>21161</v>
      </c>
      <c r="E93" t="s">
        <v>21</v>
      </c>
      <c r="F93" t="s">
        <v>46</v>
      </c>
      <c r="G93" t="s">
        <v>43</v>
      </c>
      <c r="H93" t="s">
        <v>26</v>
      </c>
      <c r="I93" t="str">
        <f t="shared" si="7"/>
        <v>Wednesday</v>
      </c>
      <c r="J93" t="str">
        <f t="shared" si="4"/>
        <v>Weekday</v>
      </c>
      <c r="K93" t="str">
        <f t="shared" si="5"/>
        <v>Normal</v>
      </c>
      <c r="L93" t="str">
        <f t="shared" si="6"/>
        <v>Normal</v>
      </c>
    </row>
    <row r="94" spans="1:12" x14ac:dyDescent="0.25">
      <c r="A94" t="s">
        <v>172</v>
      </c>
      <c r="B94" t="s">
        <v>56</v>
      </c>
      <c r="C94" s="1">
        <v>45327</v>
      </c>
      <c r="D94">
        <v>100676</v>
      </c>
      <c r="E94" t="s">
        <v>16</v>
      </c>
      <c r="F94" t="s">
        <v>17</v>
      </c>
      <c r="G94" t="s">
        <v>43</v>
      </c>
      <c r="H94" t="s">
        <v>13</v>
      </c>
      <c r="I94" t="str">
        <f t="shared" si="7"/>
        <v>Monday</v>
      </c>
      <c r="J94" t="str">
        <f t="shared" si="4"/>
        <v>Weekday</v>
      </c>
      <c r="K94" t="str">
        <f t="shared" si="5"/>
        <v>High Value</v>
      </c>
      <c r="L94" t="str">
        <f t="shared" si="6"/>
        <v>Suspicious</v>
      </c>
    </row>
    <row r="95" spans="1:12" x14ac:dyDescent="0.25">
      <c r="A95" t="s">
        <v>173</v>
      </c>
      <c r="B95" t="s">
        <v>28</v>
      </c>
      <c r="C95" s="1">
        <v>45301</v>
      </c>
      <c r="D95">
        <v>93825</v>
      </c>
      <c r="E95" t="s">
        <v>32</v>
      </c>
      <c r="F95" t="s">
        <v>33</v>
      </c>
      <c r="G95" t="s">
        <v>12</v>
      </c>
      <c r="H95" t="s">
        <v>26</v>
      </c>
      <c r="I95" t="str">
        <f t="shared" si="7"/>
        <v>Wednesday</v>
      </c>
      <c r="J95" t="str">
        <f t="shared" si="4"/>
        <v>Weekday</v>
      </c>
      <c r="K95" t="str">
        <f t="shared" si="5"/>
        <v>High Value</v>
      </c>
      <c r="L95" t="str">
        <f t="shared" si="6"/>
        <v>Suspicious</v>
      </c>
    </row>
    <row r="96" spans="1:12" x14ac:dyDescent="0.25">
      <c r="A96" t="s">
        <v>174</v>
      </c>
      <c r="B96" t="s">
        <v>175</v>
      </c>
      <c r="C96" s="1">
        <v>45406</v>
      </c>
      <c r="D96">
        <v>71098</v>
      </c>
      <c r="E96" t="s">
        <v>32</v>
      </c>
      <c r="F96" t="s">
        <v>79</v>
      </c>
      <c r="G96" t="s">
        <v>12</v>
      </c>
      <c r="H96" t="s">
        <v>13</v>
      </c>
      <c r="I96" t="str">
        <f t="shared" si="7"/>
        <v>Wednesday</v>
      </c>
      <c r="J96" t="str">
        <f t="shared" si="4"/>
        <v>Weekday</v>
      </c>
      <c r="K96" t="str">
        <f t="shared" si="5"/>
        <v>High Value</v>
      </c>
      <c r="L96" t="str">
        <f t="shared" si="6"/>
        <v>Normal</v>
      </c>
    </row>
    <row r="97" spans="1:12" x14ac:dyDescent="0.25">
      <c r="A97" t="s">
        <v>176</v>
      </c>
      <c r="B97" t="s">
        <v>114</v>
      </c>
      <c r="C97" s="1">
        <v>45380</v>
      </c>
      <c r="D97">
        <v>20328</v>
      </c>
      <c r="E97" t="s">
        <v>16</v>
      </c>
      <c r="F97" t="s">
        <v>17</v>
      </c>
      <c r="G97" t="s">
        <v>12</v>
      </c>
      <c r="H97" t="s">
        <v>13</v>
      </c>
      <c r="I97" t="str">
        <f t="shared" si="7"/>
        <v>Friday</v>
      </c>
      <c r="J97" t="str">
        <f t="shared" si="4"/>
        <v>Weekday</v>
      </c>
      <c r="K97" t="str">
        <f t="shared" si="5"/>
        <v>Normal</v>
      </c>
      <c r="L97" t="str">
        <f t="shared" si="6"/>
        <v>Normal</v>
      </c>
    </row>
    <row r="98" spans="1:12" x14ac:dyDescent="0.25">
      <c r="A98" t="s">
        <v>177</v>
      </c>
      <c r="B98" t="s">
        <v>112</v>
      </c>
      <c r="C98" s="1">
        <v>45334</v>
      </c>
      <c r="D98">
        <v>71421</v>
      </c>
      <c r="E98" t="s">
        <v>37</v>
      </c>
      <c r="F98" t="s">
        <v>38</v>
      </c>
      <c r="G98" t="s">
        <v>43</v>
      </c>
      <c r="H98" t="s">
        <v>13</v>
      </c>
      <c r="I98" t="str">
        <f t="shared" si="7"/>
        <v>Monday</v>
      </c>
      <c r="J98" t="str">
        <f t="shared" si="4"/>
        <v>Weekday</v>
      </c>
      <c r="K98" t="str">
        <f t="shared" si="5"/>
        <v>High Value</v>
      </c>
      <c r="L98" t="str">
        <f t="shared" si="6"/>
        <v>Normal</v>
      </c>
    </row>
    <row r="99" spans="1:12" x14ac:dyDescent="0.25">
      <c r="A99" t="s">
        <v>178</v>
      </c>
      <c r="B99" t="s">
        <v>112</v>
      </c>
      <c r="C99" s="1">
        <v>45341</v>
      </c>
      <c r="D99">
        <v>118898</v>
      </c>
      <c r="E99" t="s">
        <v>16</v>
      </c>
      <c r="F99" t="s">
        <v>17</v>
      </c>
      <c r="G99" t="s">
        <v>25</v>
      </c>
      <c r="H99" t="s">
        <v>13</v>
      </c>
      <c r="I99" t="str">
        <f t="shared" si="7"/>
        <v>Monday</v>
      </c>
      <c r="J99" t="str">
        <f t="shared" si="4"/>
        <v>Weekday</v>
      </c>
      <c r="K99" t="str">
        <f t="shared" si="5"/>
        <v>High Value</v>
      </c>
      <c r="L99" t="str">
        <f t="shared" si="6"/>
        <v>Suspicious</v>
      </c>
    </row>
    <row r="100" spans="1:12" x14ac:dyDescent="0.25">
      <c r="A100" t="s">
        <v>179</v>
      </c>
      <c r="B100" t="s">
        <v>114</v>
      </c>
      <c r="C100" s="1">
        <v>45353</v>
      </c>
      <c r="D100">
        <v>1072</v>
      </c>
      <c r="E100" t="s">
        <v>21</v>
      </c>
      <c r="F100" t="s">
        <v>46</v>
      </c>
      <c r="G100" t="s">
        <v>50</v>
      </c>
      <c r="H100" t="s">
        <v>26</v>
      </c>
      <c r="I100" t="str">
        <f t="shared" si="7"/>
        <v>Saturday</v>
      </c>
      <c r="J100" t="str">
        <f t="shared" si="4"/>
        <v>Weekend</v>
      </c>
      <c r="K100" t="str">
        <f t="shared" si="5"/>
        <v>Normal</v>
      </c>
      <c r="L100" t="str">
        <f t="shared" si="6"/>
        <v>Normal</v>
      </c>
    </row>
    <row r="101" spans="1:12" x14ac:dyDescent="0.25">
      <c r="A101" t="s">
        <v>180</v>
      </c>
      <c r="B101" t="s">
        <v>77</v>
      </c>
      <c r="C101" s="1">
        <v>45387</v>
      </c>
      <c r="D101">
        <v>96589</v>
      </c>
      <c r="E101" t="s">
        <v>37</v>
      </c>
      <c r="F101" t="s">
        <v>58</v>
      </c>
      <c r="G101" t="s">
        <v>43</v>
      </c>
      <c r="H101" t="s">
        <v>13</v>
      </c>
      <c r="I101" t="str">
        <f t="shared" si="7"/>
        <v>Friday</v>
      </c>
      <c r="J101" t="str">
        <f t="shared" si="4"/>
        <v>Weekday</v>
      </c>
      <c r="K101" t="str">
        <f t="shared" si="5"/>
        <v>High Value</v>
      </c>
      <c r="L101" t="str">
        <f t="shared" si="6"/>
        <v>Suspicious</v>
      </c>
    </row>
    <row r="102" spans="1:12" x14ac:dyDescent="0.25">
      <c r="A102" t="s">
        <v>181</v>
      </c>
      <c r="B102" t="s">
        <v>20</v>
      </c>
      <c r="C102" s="1">
        <v>45354</v>
      </c>
      <c r="D102">
        <v>4104</v>
      </c>
      <c r="E102" t="s">
        <v>32</v>
      </c>
      <c r="F102" t="s">
        <v>92</v>
      </c>
      <c r="G102" t="s">
        <v>50</v>
      </c>
      <c r="H102" t="s">
        <v>26</v>
      </c>
      <c r="I102" t="str">
        <f t="shared" si="7"/>
        <v>Sunday</v>
      </c>
      <c r="J102" t="str">
        <f t="shared" si="4"/>
        <v>Weekend</v>
      </c>
      <c r="K102" t="str">
        <f t="shared" si="5"/>
        <v>Normal</v>
      </c>
      <c r="L102" t="str">
        <f t="shared" si="6"/>
        <v>Normal</v>
      </c>
    </row>
    <row r="103" spans="1:12" x14ac:dyDescent="0.25">
      <c r="A103" t="s">
        <v>182</v>
      </c>
      <c r="B103" t="s">
        <v>131</v>
      </c>
      <c r="C103" s="1">
        <v>45399</v>
      </c>
      <c r="D103">
        <v>61561</v>
      </c>
      <c r="E103" t="s">
        <v>10</v>
      </c>
      <c r="F103" t="s">
        <v>49</v>
      </c>
      <c r="G103" t="s">
        <v>18</v>
      </c>
      <c r="H103" t="s">
        <v>13</v>
      </c>
      <c r="I103" t="str">
        <f t="shared" si="7"/>
        <v>Wednesday</v>
      </c>
      <c r="J103" t="str">
        <f t="shared" si="4"/>
        <v>Weekday</v>
      </c>
      <c r="K103" t="str">
        <f t="shared" si="5"/>
        <v>High Value</v>
      </c>
      <c r="L103" t="str">
        <f t="shared" si="6"/>
        <v>Normal</v>
      </c>
    </row>
    <row r="104" spans="1:12" x14ac:dyDescent="0.25">
      <c r="A104" t="s">
        <v>183</v>
      </c>
      <c r="B104" t="s">
        <v>97</v>
      </c>
      <c r="C104" s="1">
        <v>45364</v>
      </c>
      <c r="D104">
        <v>87200</v>
      </c>
      <c r="E104" t="s">
        <v>37</v>
      </c>
      <c r="F104" t="s">
        <v>58</v>
      </c>
      <c r="G104" t="s">
        <v>34</v>
      </c>
      <c r="H104" t="s">
        <v>26</v>
      </c>
      <c r="I104" t="str">
        <f t="shared" si="7"/>
        <v>Wednesday</v>
      </c>
      <c r="J104" t="str">
        <f t="shared" si="4"/>
        <v>Weekday</v>
      </c>
      <c r="K104" t="str">
        <f t="shared" si="5"/>
        <v>High Value</v>
      </c>
      <c r="L104" t="str">
        <f t="shared" si="6"/>
        <v>Suspicious</v>
      </c>
    </row>
    <row r="105" spans="1:12" x14ac:dyDescent="0.25">
      <c r="A105" t="s">
        <v>184</v>
      </c>
      <c r="B105" t="s">
        <v>105</v>
      </c>
      <c r="C105" s="1">
        <v>45315</v>
      </c>
      <c r="D105">
        <v>6890</v>
      </c>
      <c r="E105" t="s">
        <v>16</v>
      </c>
      <c r="F105" t="s">
        <v>52</v>
      </c>
      <c r="G105" t="s">
        <v>43</v>
      </c>
      <c r="H105" t="s">
        <v>26</v>
      </c>
      <c r="I105" t="str">
        <f t="shared" si="7"/>
        <v>Wednesday</v>
      </c>
      <c r="J105" t="str">
        <f t="shared" si="4"/>
        <v>Weekday</v>
      </c>
      <c r="K105" t="str">
        <f t="shared" si="5"/>
        <v>Normal</v>
      </c>
      <c r="L105" t="str">
        <f t="shared" si="6"/>
        <v>Normal</v>
      </c>
    </row>
    <row r="106" spans="1:12" x14ac:dyDescent="0.25">
      <c r="A106" t="s">
        <v>185</v>
      </c>
      <c r="B106" t="s">
        <v>105</v>
      </c>
      <c r="C106" s="1">
        <v>45333</v>
      </c>
      <c r="D106">
        <v>44536</v>
      </c>
      <c r="E106" t="s">
        <v>16</v>
      </c>
      <c r="F106" t="s">
        <v>52</v>
      </c>
      <c r="G106" t="s">
        <v>50</v>
      </c>
      <c r="H106" t="s">
        <v>26</v>
      </c>
      <c r="I106" t="str">
        <f t="shared" si="7"/>
        <v>Sunday</v>
      </c>
      <c r="J106" t="str">
        <f t="shared" si="4"/>
        <v>Weekend</v>
      </c>
      <c r="K106" t="str">
        <f t="shared" si="5"/>
        <v>Normal</v>
      </c>
      <c r="L106" t="str">
        <f t="shared" si="6"/>
        <v>Normal</v>
      </c>
    </row>
    <row r="107" spans="1:12" x14ac:dyDescent="0.25">
      <c r="A107" t="s">
        <v>186</v>
      </c>
      <c r="B107" t="s">
        <v>187</v>
      </c>
      <c r="C107" s="1">
        <v>45352</v>
      </c>
      <c r="D107">
        <v>2840</v>
      </c>
      <c r="E107" t="s">
        <v>32</v>
      </c>
      <c r="F107" t="s">
        <v>79</v>
      </c>
      <c r="G107" t="s">
        <v>50</v>
      </c>
      <c r="H107" t="s">
        <v>13</v>
      </c>
      <c r="I107" t="str">
        <f t="shared" si="7"/>
        <v>Friday</v>
      </c>
      <c r="J107" t="str">
        <f t="shared" si="4"/>
        <v>Weekday</v>
      </c>
      <c r="K107" t="str">
        <f t="shared" si="5"/>
        <v>Normal</v>
      </c>
      <c r="L107" t="str">
        <f t="shared" si="6"/>
        <v>Normal</v>
      </c>
    </row>
    <row r="108" spans="1:12" x14ac:dyDescent="0.25">
      <c r="A108" t="s">
        <v>188</v>
      </c>
      <c r="B108" t="s">
        <v>48</v>
      </c>
      <c r="C108" s="1">
        <v>45391</v>
      </c>
      <c r="D108">
        <v>85726</v>
      </c>
      <c r="E108" t="s">
        <v>10</v>
      </c>
      <c r="F108" t="s">
        <v>49</v>
      </c>
      <c r="G108" t="s">
        <v>34</v>
      </c>
      <c r="H108" t="s">
        <v>13</v>
      </c>
      <c r="I108" t="str">
        <f t="shared" si="7"/>
        <v>Tuesday</v>
      </c>
      <c r="J108" t="str">
        <f t="shared" si="4"/>
        <v>Weekday</v>
      </c>
      <c r="K108" t="str">
        <f t="shared" si="5"/>
        <v>High Value</v>
      </c>
      <c r="L108" t="str">
        <f t="shared" si="6"/>
        <v>Suspicious</v>
      </c>
    </row>
    <row r="109" spans="1:12" x14ac:dyDescent="0.25">
      <c r="A109" t="s">
        <v>189</v>
      </c>
      <c r="B109" t="s">
        <v>86</v>
      </c>
      <c r="C109" s="1">
        <v>45371</v>
      </c>
      <c r="D109">
        <v>20273</v>
      </c>
      <c r="E109" t="s">
        <v>16</v>
      </c>
      <c r="F109" t="s">
        <v>29</v>
      </c>
      <c r="G109" t="s">
        <v>12</v>
      </c>
      <c r="H109" t="s">
        <v>26</v>
      </c>
      <c r="I109" t="str">
        <f t="shared" si="7"/>
        <v>Wednesday</v>
      </c>
      <c r="J109" t="str">
        <f t="shared" si="4"/>
        <v>Weekday</v>
      </c>
      <c r="K109" t="str">
        <f t="shared" si="5"/>
        <v>Normal</v>
      </c>
      <c r="L109" t="str">
        <f t="shared" si="6"/>
        <v>Normal</v>
      </c>
    </row>
    <row r="110" spans="1:12" x14ac:dyDescent="0.25">
      <c r="A110" t="s">
        <v>190</v>
      </c>
      <c r="B110" t="s">
        <v>9</v>
      </c>
      <c r="C110" s="1">
        <v>45364</v>
      </c>
      <c r="D110">
        <v>28869</v>
      </c>
      <c r="E110" t="s">
        <v>10</v>
      </c>
      <c r="F110" t="s">
        <v>11</v>
      </c>
      <c r="G110" t="s">
        <v>25</v>
      </c>
      <c r="H110" t="s">
        <v>26</v>
      </c>
      <c r="I110" t="str">
        <f t="shared" si="7"/>
        <v>Wednesday</v>
      </c>
      <c r="J110" t="str">
        <f t="shared" si="4"/>
        <v>Weekday</v>
      </c>
      <c r="K110" t="str">
        <f t="shared" si="5"/>
        <v>Normal</v>
      </c>
      <c r="L110" t="str">
        <f t="shared" si="6"/>
        <v>Normal</v>
      </c>
    </row>
    <row r="111" spans="1:12" x14ac:dyDescent="0.25">
      <c r="A111" t="s">
        <v>191</v>
      </c>
      <c r="B111" t="s">
        <v>131</v>
      </c>
      <c r="C111" s="1">
        <v>45369</v>
      </c>
      <c r="D111">
        <v>79893</v>
      </c>
      <c r="E111" t="s">
        <v>32</v>
      </c>
      <c r="F111" t="s">
        <v>79</v>
      </c>
      <c r="G111" t="s">
        <v>12</v>
      </c>
      <c r="H111" t="s">
        <v>26</v>
      </c>
      <c r="I111" t="str">
        <f t="shared" si="7"/>
        <v>Monday</v>
      </c>
      <c r="J111" t="str">
        <f t="shared" si="4"/>
        <v>Weekday</v>
      </c>
      <c r="K111" t="str">
        <f t="shared" si="5"/>
        <v>High Value</v>
      </c>
      <c r="L111" t="str">
        <f t="shared" si="6"/>
        <v>Suspicious</v>
      </c>
    </row>
    <row r="112" spans="1:12" x14ac:dyDescent="0.25">
      <c r="A112" t="s">
        <v>192</v>
      </c>
      <c r="B112" t="s">
        <v>97</v>
      </c>
      <c r="C112" s="1">
        <v>45295</v>
      </c>
      <c r="D112">
        <v>41188</v>
      </c>
      <c r="E112" t="s">
        <v>41</v>
      </c>
      <c r="F112" t="s">
        <v>101</v>
      </c>
      <c r="G112" t="s">
        <v>43</v>
      </c>
      <c r="H112" t="s">
        <v>13</v>
      </c>
      <c r="I112" t="str">
        <f t="shared" si="7"/>
        <v>Thursday</v>
      </c>
      <c r="J112" t="str">
        <f t="shared" si="4"/>
        <v>Weekday</v>
      </c>
      <c r="K112" t="str">
        <f t="shared" si="5"/>
        <v>Normal</v>
      </c>
      <c r="L112" t="str">
        <f t="shared" si="6"/>
        <v>Normal</v>
      </c>
    </row>
    <row r="113" spans="1:12" x14ac:dyDescent="0.25">
      <c r="A113" t="s">
        <v>193</v>
      </c>
      <c r="B113" t="s">
        <v>97</v>
      </c>
      <c r="C113" s="1">
        <v>45380</v>
      </c>
      <c r="D113">
        <v>109164</v>
      </c>
      <c r="E113" t="s">
        <v>41</v>
      </c>
      <c r="F113" t="s">
        <v>98</v>
      </c>
      <c r="G113" t="s">
        <v>34</v>
      </c>
      <c r="H113" t="s">
        <v>26</v>
      </c>
      <c r="I113" t="str">
        <f t="shared" si="7"/>
        <v>Friday</v>
      </c>
      <c r="J113" t="str">
        <f t="shared" si="4"/>
        <v>Weekday</v>
      </c>
      <c r="K113" t="str">
        <f t="shared" si="5"/>
        <v>High Value</v>
      </c>
      <c r="L113" t="str">
        <f t="shared" si="6"/>
        <v>Suspicious</v>
      </c>
    </row>
    <row r="114" spans="1:12" x14ac:dyDescent="0.25">
      <c r="A114" t="s">
        <v>194</v>
      </c>
      <c r="B114" t="s">
        <v>24</v>
      </c>
      <c r="C114" s="1">
        <v>45395</v>
      </c>
      <c r="D114">
        <v>16166</v>
      </c>
      <c r="E114" t="s">
        <v>10</v>
      </c>
      <c r="F114" t="s">
        <v>68</v>
      </c>
      <c r="G114" t="s">
        <v>34</v>
      </c>
      <c r="H114" t="s">
        <v>26</v>
      </c>
      <c r="I114" t="str">
        <f t="shared" si="7"/>
        <v>Saturday</v>
      </c>
      <c r="J114" t="str">
        <f t="shared" si="4"/>
        <v>Weekend</v>
      </c>
      <c r="K114" t="str">
        <f t="shared" si="5"/>
        <v>Normal</v>
      </c>
      <c r="L114" t="str">
        <f t="shared" si="6"/>
        <v>Normal</v>
      </c>
    </row>
    <row r="115" spans="1:12" x14ac:dyDescent="0.25">
      <c r="A115" t="s">
        <v>195</v>
      </c>
      <c r="B115" t="s">
        <v>20</v>
      </c>
      <c r="C115" s="1">
        <v>45376</v>
      </c>
      <c r="D115">
        <v>48871</v>
      </c>
      <c r="E115" t="s">
        <v>21</v>
      </c>
      <c r="F115" t="s">
        <v>22</v>
      </c>
      <c r="G115" t="s">
        <v>18</v>
      </c>
      <c r="H115" t="s">
        <v>26</v>
      </c>
      <c r="I115" t="str">
        <f t="shared" si="7"/>
        <v>Monday</v>
      </c>
      <c r="J115" t="str">
        <f t="shared" si="4"/>
        <v>Weekday</v>
      </c>
      <c r="K115" t="str">
        <f t="shared" si="5"/>
        <v>Normal</v>
      </c>
      <c r="L115" t="str">
        <f t="shared" si="6"/>
        <v>Normal</v>
      </c>
    </row>
    <row r="116" spans="1:12" x14ac:dyDescent="0.25">
      <c r="A116" t="s">
        <v>196</v>
      </c>
      <c r="B116" t="s">
        <v>112</v>
      </c>
      <c r="C116" s="1">
        <v>45397</v>
      </c>
      <c r="D116">
        <v>64551</v>
      </c>
      <c r="E116" t="s">
        <v>41</v>
      </c>
      <c r="F116" t="s">
        <v>42</v>
      </c>
      <c r="G116" t="s">
        <v>43</v>
      </c>
      <c r="H116" t="s">
        <v>26</v>
      </c>
      <c r="I116" t="str">
        <f t="shared" si="7"/>
        <v>Monday</v>
      </c>
      <c r="J116" t="str">
        <f t="shared" si="4"/>
        <v>Weekday</v>
      </c>
      <c r="K116" t="str">
        <f t="shared" si="5"/>
        <v>High Value</v>
      </c>
      <c r="L116" t="str">
        <f t="shared" si="6"/>
        <v>Normal</v>
      </c>
    </row>
    <row r="117" spans="1:12" x14ac:dyDescent="0.25">
      <c r="A117" t="s">
        <v>197</v>
      </c>
      <c r="B117" t="s">
        <v>105</v>
      </c>
      <c r="C117" s="1">
        <v>45382</v>
      </c>
      <c r="D117">
        <v>20352</v>
      </c>
      <c r="E117" t="s">
        <v>10</v>
      </c>
      <c r="F117" t="s">
        <v>11</v>
      </c>
      <c r="G117" t="s">
        <v>12</v>
      </c>
      <c r="H117" t="s">
        <v>26</v>
      </c>
      <c r="I117" t="str">
        <f t="shared" si="7"/>
        <v>Sunday</v>
      </c>
      <c r="J117" t="str">
        <f t="shared" si="4"/>
        <v>Weekend</v>
      </c>
      <c r="K117" t="str">
        <f t="shared" si="5"/>
        <v>Normal</v>
      </c>
      <c r="L117" t="str">
        <f t="shared" si="6"/>
        <v>Normal</v>
      </c>
    </row>
    <row r="118" spans="1:12" x14ac:dyDescent="0.25">
      <c r="A118" t="s">
        <v>198</v>
      </c>
      <c r="B118" t="s">
        <v>77</v>
      </c>
      <c r="C118" s="1">
        <v>45391</v>
      </c>
      <c r="D118">
        <v>63672</v>
      </c>
      <c r="E118" t="s">
        <v>21</v>
      </c>
      <c r="F118" t="s">
        <v>46</v>
      </c>
      <c r="G118" t="s">
        <v>43</v>
      </c>
      <c r="H118" t="s">
        <v>26</v>
      </c>
      <c r="I118" t="str">
        <f t="shared" si="7"/>
        <v>Tuesday</v>
      </c>
      <c r="J118" t="str">
        <f t="shared" si="4"/>
        <v>Weekday</v>
      </c>
      <c r="K118" t="str">
        <f t="shared" si="5"/>
        <v>High Value</v>
      </c>
      <c r="L118" t="str">
        <f t="shared" si="6"/>
        <v>Normal</v>
      </c>
    </row>
    <row r="119" spans="1:12" x14ac:dyDescent="0.25">
      <c r="A119" t="s">
        <v>199</v>
      </c>
      <c r="B119" t="s">
        <v>109</v>
      </c>
      <c r="C119" s="1">
        <v>45398</v>
      </c>
      <c r="D119">
        <v>11659</v>
      </c>
      <c r="E119" t="s">
        <v>32</v>
      </c>
      <c r="F119" t="s">
        <v>33</v>
      </c>
      <c r="G119" t="s">
        <v>43</v>
      </c>
      <c r="H119" t="s">
        <v>13</v>
      </c>
      <c r="I119" t="str">
        <f t="shared" si="7"/>
        <v>Tuesday</v>
      </c>
      <c r="J119" t="str">
        <f t="shared" si="4"/>
        <v>Weekday</v>
      </c>
      <c r="K119" t="str">
        <f t="shared" si="5"/>
        <v>Normal</v>
      </c>
      <c r="L119" t="str">
        <f t="shared" si="6"/>
        <v>Normal</v>
      </c>
    </row>
    <row r="120" spans="1:12" x14ac:dyDescent="0.25">
      <c r="A120" t="s">
        <v>200</v>
      </c>
      <c r="B120" t="s">
        <v>88</v>
      </c>
      <c r="C120" s="1">
        <v>45370</v>
      </c>
      <c r="D120">
        <v>87880</v>
      </c>
      <c r="E120" t="s">
        <v>37</v>
      </c>
      <c r="F120" t="s">
        <v>38</v>
      </c>
      <c r="G120" t="s">
        <v>50</v>
      </c>
      <c r="H120" t="s">
        <v>13</v>
      </c>
      <c r="I120" t="str">
        <f t="shared" si="7"/>
        <v>Tuesday</v>
      </c>
      <c r="J120" t="str">
        <f t="shared" si="4"/>
        <v>Weekday</v>
      </c>
      <c r="K120" t="str">
        <f t="shared" si="5"/>
        <v>High Value</v>
      </c>
      <c r="L120" t="str">
        <f t="shared" si="6"/>
        <v>Suspicious</v>
      </c>
    </row>
    <row r="121" spans="1:12" x14ac:dyDescent="0.25">
      <c r="A121" t="s">
        <v>201</v>
      </c>
      <c r="B121" t="s">
        <v>175</v>
      </c>
      <c r="C121" s="1">
        <v>45315</v>
      </c>
      <c r="D121">
        <v>64204</v>
      </c>
      <c r="E121" t="s">
        <v>37</v>
      </c>
      <c r="F121" t="s">
        <v>58</v>
      </c>
      <c r="G121" t="s">
        <v>50</v>
      </c>
      <c r="H121" t="s">
        <v>26</v>
      </c>
      <c r="I121" t="str">
        <f t="shared" si="7"/>
        <v>Wednesday</v>
      </c>
      <c r="J121" t="str">
        <f t="shared" si="4"/>
        <v>Weekday</v>
      </c>
      <c r="K121" t="str">
        <f t="shared" si="5"/>
        <v>High Value</v>
      </c>
      <c r="L121" t="str">
        <f t="shared" si="6"/>
        <v>Normal</v>
      </c>
    </row>
    <row r="122" spans="1:12" x14ac:dyDescent="0.25">
      <c r="A122" t="s">
        <v>202</v>
      </c>
      <c r="B122" t="s">
        <v>31</v>
      </c>
      <c r="C122" s="1">
        <v>45404</v>
      </c>
      <c r="D122">
        <v>78439</v>
      </c>
      <c r="E122" t="s">
        <v>32</v>
      </c>
      <c r="F122" t="s">
        <v>33</v>
      </c>
      <c r="G122" t="s">
        <v>18</v>
      </c>
      <c r="H122" t="s">
        <v>13</v>
      </c>
      <c r="I122" t="str">
        <f t="shared" si="7"/>
        <v>Monday</v>
      </c>
      <c r="J122" t="str">
        <f t="shared" si="4"/>
        <v>Weekday</v>
      </c>
      <c r="K122" t="str">
        <f t="shared" si="5"/>
        <v>High Value</v>
      </c>
      <c r="L122" t="str">
        <f t="shared" si="6"/>
        <v>Suspicious</v>
      </c>
    </row>
    <row r="123" spans="1:12" x14ac:dyDescent="0.25">
      <c r="A123" t="s">
        <v>203</v>
      </c>
      <c r="B123" t="s">
        <v>204</v>
      </c>
      <c r="C123" s="1">
        <v>45302</v>
      </c>
      <c r="D123">
        <v>31935</v>
      </c>
      <c r="E123" t="s">
        <v>21</v>
      </c>
      <c r="F123" t="s">
        <v>46</v>
      </c>
      <c r="G123" t="s">
        <v>43</v>
      </c>
      <c r="H123" t="s">
        <v>13</v>
      </c>
      <c r="I123" t="str">
        <f t="shared" si="7"/>
        <v>Thursday</v>
      </c>
      <c r="J123" t="str">
        <f t="shared" si="4"/>
        <v>Weekday</v>
      </c>
      <c r="K123" t="str">
        <f t="shared" si="5"/>
        <v>Normal</v>
      </c>
      <c r="L123" t="str">
        <f t="shared" si="6"/>
        <v>Normal</v>
      </c>
    </row>
    <row r="124" spans="1:12" x14ac:dyDescent="0.25">
      <c r="A124" t="s">
        <v>205</v>
      </c>
      <c r="B124" t="s">
        <v>206</v>
      </c>
      <c r="C124" s="1">
        <v>45374</v>
      </c>
      <c r="D124">
        <v>93602</v>
      </c>
      <c r="E124" t="s">
        <v>10</v>
      </c>
      <c r="F124" t="s">
        <v>11</v>
      </c>
      <c r="G124" t="s">
        <v>43</v>
      </c>
      <c r="H124" t="s">
        <v>13</v>
      </c>
      <c r="I124" t="str">
        <f t="shared" si="7"/>
        <v>Saturday</v>
      </c>
      <c r="J124" t="str">
        <f t="shared" si="4"/>
        <v>Weekend</v>
      </c>
      <c r="K124" t="str">
        <f t="shared" si="5"/>
        <v>High Value</v>
      </c>
      <c r="L124" t="str">
        <f t="shared" si="6"/>
        <v>Suspicious</v>
      </c>
    </row>
    <row r="125" spans="1:12" x14ac:dyDescent="0.25">
      <c r="A125" t="s">
        <v>207</v>
      </c>
      <c r="B125" t="s">
        <v>45</v>
      </c>
      <c r="C125" s="1">
        <v>45320</v>
      </c>
      <c r="D125">
        <v>53305</v>
      </c>
      <c r="E125" t="s">
        <v>41</v>
      </c>
      <c r="F125" t="s">
        <v>98</v>
      </c>
      <c r="G125" t="s">
        <v>50</v>
      </c>
      <c r="H125" t="s">
        <v>26</v>
      </c>
      <c r="I125" t="str">
        <f t="shared" si="7"/>
        <v>Monday</v>
      </c>
      <c r="J125" t="str">
        <f t="shared" si="4"/>
        <v>Weekday</v>
      </c>
      <c r="K125" t="str">
        <f t="shared" si="5"/>
        <v>High Value</v>
      </c>
      <c r="L125" t="str">
        <f t="shared" si="6"/>
        <v>Normal</v>
      </c>
    </row>
    <row r="126" spans="1:12" x14ac:dyDescent="0.25">
      <c r="A126" t="s">
        <v>208</v>
      </c>
      <c r="B126" t="s">
        <v>67</v>
      </c>
      <c r="C126" s="1">
        <v>45359</v>
      </c>
      <c r="D126">
        <v>45356</v>
      </c>
      <c r="E126" t="s">
        <v>37</v>
      </c>
      <c r="F126" t="s">
        <v>38</v>
      </c>
      <c r="G126" t="s">
        <v>25</v>
      </c>
      <c r="H126" t="s">
        <v>26</v>
      </c>
      <c r="I126" t="str">
        <f t="shared" si="7"/>
        <v>Friday</v>
      </c>
      <c r="J126" t="str">
        <f t="shared" si="4"/>
        <v>Weekday</v>
      </c>
      <c r="K126" t="str">
        <f t="shared" si="5"/>
        <v>Normal</v>
      </c>
      <c r="L126" t="str">
        <f t="shared" si="6"/>
        <v>Normal</v>
      </c>
    </row>
    <row r="127" spans="1:12" x14ac:dyDescent="0.25">
      <c r="A127" t="s">
        <v>209</v>
      </c>
      <c r="B127" t="s">
        <v>116</v>
      </c>
      <c r="C127" s="1">
        <v>45350</v>
      </c>
      <c r="D127">
        <v>35809</v>
      </c>
      <c r="E127" t="s">
        <v>32</v>
      </c>
      <c r="F127" t="s">
        <v>33</v>
      </c>
      <c r="G127" t="s">
        <v>50</v>
      </c>
      <c r="H127" t="s">
        <v>13</v>
      </c>
      <c r="I127" t="str">
        <f t="shared" si="7"/>
        <v>Wednesday</v>
      </c>
      <c r="J127" t="str">
        <f t="shared" si="4"/>
        <v>Weekday</v>
      </c>
      <c r="K127" t="str">
        <f t="shared" si="5"/>
        <v>Normal</v>
      </c>
      <c r="L127" t="str">
        <f t="shared" si="6"/>
        <v>Normal</v>
      </c>
    </row>
    <row r="128" spans="1:12" x14ac:dyDescent="0.25">
      <c r="A128" t="s">
        <v>210</v>
      </c>
      <c r="B128" t="s">
        <v>40</v>
      </c>
      <c r="C128" s="1">
        <v>45316</v>
      </c>
      <c r="D128">
        <v>41659</v>
      </c>
      <c r="E128" t="s">
        <v>41</v>
      </c>
      <c r="F128" t="s">
        <v>42</v>
      </c>
      <c r="G128" t="s">
        <v>25</v>
      </c>
      <c r="H128" t="s">
        <v>13</v>
      </c>
      <c r="I128" t="str">
        <f t="shared" si="7"/>
        <v>Thursday</v>
      </c>
      <c r="J128" t="str">
        <f t="shared" si="4"/>
        <v>Weekday</v>
      </c>
      <c r="K128" t="str">
        <f t="shared" si="5"/>
        <v>Normal</v>
      </c>
      <c r="L128" t="str">
        <f t="shared" si="6"/>
        <v>Normal</v>
      </c>
    </row>
    <row r="129" spans="1:12" x14ac:dyDescent="0.25">
      <c r="A129" t="s">
        <v>211</v>
      </c>
      <c r="B129" t="s">
        <v>63</v>
      </c>
      <c r="C129" s="1">
        <v>45386</v>
      </c>
      <c r="D129">
        <v>63764</v>
      </c>
      <c r="E129" t="s">
        <v>16</v>
      </c>
      <c r="F129" t="s">
        <v>52</v>
      </c>
      <c r="G129" t="s">
        <v>25</v>
      </c>
      <c r="H129" t="s">
        <v>26</v>
      </c>
      <c r="I129" t="str">
        <f t="shared" si="7"/>
        <v>Thursday</v>
      </c>
      <c r="J129" t="str">
        <f t="shared" si="4"/>
        <v>Weekday</v>
      </c>
      <c r="K129" t="str">
        <f t="shared" si="5"/>
        <v>High Value</v>
      </c>
      <c r="L129" t="str">
        <f t="shared" si="6"/>
        <v>Normal</v>
      </c>
    </row>
    <row r="130" spans="1:12" x14ac:dyDescent="0.25">
      <c r="A130" t="s">
        <v>212</v>
      </c>
      <c r="B130" t="s">
        <v>204</v>
      </c>
      <c r="C130" s="1">
        <v>45329</v>
      </c>
      <c r="D130">
        <v>30116</v>
      </c>
      <c r="E130" t="s">
        <v>41</v>
      </c>
      <c r="F130" t="s">
        <v>61</v>
      </c>
      <c r="G130" t="s">
        <v>12</v>
      </c>
      <c r="H130" t="s">
        <v>26</v>
      </c>
      <c r="I130" t="str">
        <f t="shared" si="7"/>
        <v>Wednesday</v>
      </c>
      <c r="J130" t="str">
        <f t="shared" si="4"/>
        <v>Weekday</v>
      </c>
      <c r="K130" t="str">
        <f t="shared" si="5"/>
        <v>Normal</v>
      </c>
      <c r="L130" t="str">
        <f t="shared" si="6"/>
        <v>Normal</v>
      </c>
    </row>
    <row r="131" spans="1:12" x14ac:dyDescent="0.25">
      <c r="A131" t="s">
        <v>213</v>
      </c>
      <c r="B131" t="s">
        <v>125</v>
      </c>
      <c r="C131" s="1">
        <v>45360</v>
      </c>
      <c r="D131">
        <v>16891</v>
      </c>
      <c r="E131" t="s">
        <v>41</v>
      </c>
      <c r="F131" t="s">
        <v>61</v>
      </c>
      <c r="G131" t="s">
        <v>34</v>
      </c>
      <c r="H131" t="s">
        <v>13</v>
      </c>
      <c r="I131" t="str">
        <f t="shared" si="7"/>
        <v>Saturday</v>
      </c>
      <c r="J131" t="str">
        <f t="shared" ref="J131:J194" si="8">IF(OR(I131="Saturday",I131="Sunday"),"Weekend","Weekday")</f>
        <v>Weekend</v>
      </c>
      <c r="K131" t="str">
        <f t="shared" ref="K131:K194" si="9">IF(D131&gt;50000,"High Value","Normal")</f>
        <v>Normal</v>
      </c>
      <c r="L131" t="str">
        <f t="shared" ref="L131:L194" si="10">IF(D131&gt;75000,"Suspicious","Normal")</f>
        <v>Normal</v>
      </c>
    </row>
    <row r="132" spans="1:12" x14ac:dyDescent="0.25">
      <c r="A132" t="s">
        <v>214</v>
      </c>
      <c r="B132" t="s">
        <v>45</v>
      </c>
      <c r="C132" s="1">
        <v>45381</v>
      </c>
      <c r="D132">
        <v>16851</v>
      </c>
      <c r="E132" t="s">
        <v>21</v>
      </c>
      <c r="F132" t="s">
        <v>46</v>
      </c>
      <c r="G132" t="s">
        <v>34</v>
      </c>
      <c r="H132" t="s">
        <v>13</v>
      </c>
      <c r="I132" t="str">
        <f t="shared" si="7"/>
        <v>Saturday</v>
      </c>
      <c r="J132" t="str">
        <f t="shared" si="8"/>
        <v>Weekend</v>
      </c>
      <c r="K132" t="str">
        <f t="shared" si="9"/>
        <v>Normal</v>
      </c>
      <c r="L132" t="str">
        <f t="shared" si="10"/>
        <v>Normal</v>
      </c>
    </row>
    <row r="133" spans="1:12" x14ac:dyDescent="0.25">
      <c r="A133" t="s">
        <v>215</v>
      </c>
      <c r="B133" t="s">
        <v>45</v>
      </c>
      <c r="C133" s="1">
        <v>45352</v>
      </c>
      <c r="D133">
        <v>63046</v>
      </c>
      <c r="E133" t="s">
        <v>21</v>
      </c>
      <c r="F133" t="s">
        <v>46</v>
      </c>
      <c r="G133" t="s">
        <v>50</v>
      </c>
      <c r="H133" t="s">
        <v>13</v>
      </c>
      <c r="I133" t="str">
        <f t="shared" ref="I133:I196" si="11">TEXT(C133,"dddd")</f>
        <v>Friday</v>
      </c>
      <c r="J133" t="str">
        <f t="shared" si="8"/>
        <v>Weekday</v>
      </c>
      <c r="K133" t="str">
        <f t="shared" si="9"/>
        <v>High Value</v>
      </c>
      <c r="L133" t="str">
        <f t="shared" si="10"/>
        <v>Normal</v>
      </c>
    </row>
    <row r="134" spans="1:12" x14ac:dyDescent="0.25">
      <c r="A134" t="s">
        <v>216</v>
      </c>
      <c r="B134" t="s">
        <v>75</v>
      </c>
      <c r="C134" s="1">
        <v>45412</v>
      </c>
      <c r="D134">
        <v>113247</v>
      </c>
      <c r="E134" t="s">
        <v>41</v>
      </c>
      <c r="F134" t="s">
        <v>101</v>
      </c>
      <c r="G134" t="s">
        <v>34</v>
      </c>
      <c r="H134" t="s">
        <v>13</v>
      </c>
      <c r="I134" t="str">
        <f t="shared" si="11"/>
        <v>Tuesday</v>
      </c>
      <c r="J134" t="str">
        <f t="shared" si="8"/>
        <v>Weekday</v>
      </c>
      <c r="K134" t="str">
        <f t="shared" si="9"/>
        <v>High Value</v>
      </c>
      <c r="L134" t="str">
        <f t="shared" si="10"/>
        <v>Suspicious</v>
      </c>
    </row>
    <row r="135" spans="1:12" x14ac:dyDescent="0.25">
      <c r="A135" t="s">
        <v>217</v>
      </c>
      <c r="B135" t="s">
        <v>136</v>
      </c>
      <c r="C135" s="1">
        <v>45301</v>
      </c>
      <c r="D135">
        <v>75931</v>
      </c>
      <c r="E135" t="s">
        <v>37</v>
      </c>
      <c r="F135" t="s">
        <v>58</v>
      </c>
      <c r="G135" t="s">
        <v>12</v>
      </c>
      <c r="H135" t="s">
        <v>13</v>
      </c>
      <c r="I135" t="str">
        <f t="shared" si="11"/>
        <v>Wednesday</v>
      </c>
      <c r="J135" t="str">
        <f t="shared" si="8"/>
        <v>Weekday</v>
      </c>
      <c r="K135" t="str">
        <f t="shared" si="9"/>
        <v>High Value</v>
      </c>
      <c r="L135" t="str">
        <f t="shared" si="10"/>
        <v>Suspicious</v>
      </c>
    </row>
    <row r="136" spans="1:12" x14ac:dyDescent="0.25">
      <c r="A136" t="s">
        <v>218</v>
      </c>
      <c r="B136" t="s">
        <v>94</v>
      </c>
      <c r="C136" s="1">
        <v>45302</v>
      </c>
      <c r="D136">
        <v>32830</v>
      </c>
      <c r="E136" t="s">
        <v>21</v>
      </c>
      <c r="F136" t="s">
        <v>22</v>
      </c>
      <c r="G136" t="s">
        <v>18</v>
      </c>
      <c r="H136" t="s">
        <v>26</v>
      </c>
      <c r="I136" t="str">
        <f t="shared" si="11"/>
        <v>Thursday</v>
      </c>
      <c r="J136" t="str">
        <f t="shared" si="8"/>
        <v>Weekday</v>
      </c>
      <c r="K136" t="str">
        <f t="shared" si="9"/>
        <v>Normal</v>
      </c>
      <c r="L136" t="str">
        <f t="shared" si="10"/>
        <v>Normal</v>
      </c>
    </row>
    <row r="137" spans="1:12" x14ac:dyDescent="0.25">
      <c r="A137" t="s">
        <v>219</v>
      </c>
      <c r="B137" t="s">
        <v>24</v>
      </c>
      <c r="C137" s="1">
        <v>45393</v>
      </c>
      <c r="D137">
        <v>81357</v>
      </c>
      <c r="E137" t="s">
        <v>21</v>
      </c>
      <c r="F137" t="s">
        <v>22</v>
      </c>
      <c r="G137" t="s">
        <v>18</v>
      </c>
      <c r="H137" t="s">
        <v>26</v>
      </c>
      <c r="I137" t="str">
        <f t="shared" si="11"/>
        <v>Thursday</v>
      </c>
      <c r="J137" t="str">
        <f t="shared" si="8"/>
        <v>Weekday</v>
      </c>
      <c r="K137" t="str">
        <f t="shared" si="9"/>
        <v>High Value</v>
      </c>
      <c r="L137" t="str">
        <f t="shared" si="10"/>
        <v>Suspicious</v>
      </c>
    </row>
    <row r="138" spans="1:12" x14ac:dyDescent="0.25">
      <c r="A138" t="s">
        <v>220</v>
      </c>
      <c r="B138" t="s">
        <v>28</v>
      </c>
      <c r="C138" s="1">
        <v>45330</v>
      </c>
      <c r="D138">
        <v>113043</v>
      </c>
      <c r="E138" t="s">
        <v>37</v>
      </c>
      <c r="F138" t="s">
        <v>38</v>
      </c>
      <c r="G138" t="s">
        <v>50</v>
      </c>
      <c r="H138" t="s">
        <v>13</v>
      </c>
      <c r="I138" t="str">
        <f t="shared" si="11"/>
        <v>Thursday</v>
      </c>
      <c r="J138" t="str">
        <f t="shared" si="8"/>
        <v>Weekday</v>
      </c>
      <c r="K138" t="str">
        <f t="shared" si="9"/>
        <v>High Value</v>
      </c>
      <c r="L138" t="str">
        <f t="shared" si="10"/>
        <v>Suspicious</v>
      </c>
    </row>
    <row r="139" spans="1:12" x14ac:dyDescent="0.25">
      <c r="A139" t="s">
        <v>221</v>
      </c>
      <c r="B139" t="s">
        <v>15</v>
      </c>
      <c r="C139" s="1">
        <v>45304</v>
      </c>
      <c r="D139">
        <v>100273</v>
      </c>
      <c r="E139" t="s">
        <v>21</v>
      </c>
      <c r="F139" t="s">
        <v>22</v>
      </c>
      <c r="G139" t="s">
        <v>25</v>
      </c>
      <c r="H139" t="s">
        <v>13</v>
      </c>
      <c r="I139" t="str">
        <f t="shared" si="11"/>
        <v>Saturday</v>
      </c>
      <c r="J139" t="str">
        <f t="shared" si="8"/>
        <v>Weekend</v>
      </c>
      <c r="K139" t="str">
        <f t="shared" si="9"/>
        <v>High Value</v>
      </c>
      <c r="L139" t="str">
        <f t="shared" si="10"/>
        <v>Suspicious</v>
      </c>
    </row>
    <row r="140" spans="1:12" x14ac:dyDescent="0.25">
      <c r="A140" t="s">
        <v>222</v>
      </c>
      <c r="B140" t="s">
        <v>123</v>
      </c>
      <c r="C140" s="1">
        <v>45302</v>
      </c>
      <c r="D140">
        <v>20885</v>
      </c>
      <c r="E140" t="s">
        <v>32</v>
      </c>
      <c r="F140" t="s">
        <v>139</v>
      </c>
      <c r="G140" t="s">
        <v>12</v>
      </c>
      <c r="H140" t="s">
        <v>13</v>
      </c>
      <c r="I140" t="str">
        <f t="shared" si="11"/>
        <v>Thursday</v>
      </c>
      <c r="J140" t="str">
        <f t="shared" si="8"/>
        <v>Weekday</v>
      </c>
      <c r="K140" t="str">
        <f t="shared" si="9"/>
        <v>Normal</v>
      </c>
      <c r="L140" t="str">
        <f t="shared" si="10"/>
        <v>Normal</v>
      </c>
    </row>
    <row r="141" spans="1:12" x14ac:dyDescent="0.25">
      <c r="A141" t="s">
        <v>223</v>
      </c>
      <c r="B141" t="s">
        <v>224</v>
      </c>
      <c r="C141" s="1">
        <v>45344</v>
      </c>
      <c r="D141">
        <v>59348</v>
      </c>
      <c r="E141" t="s">
        <v>16</v>
      </c>
      <c r="F141" t="s">
        <v>17</v>
      </c>
      <c r="G141" t="s">
        <v>18</v>
      </c>
      <c r="H141" t="s">
        <v>26</v>
      </c>
      <c r="I141" t="str">
        <f t="shared" si="11"/>
        <v>Thursday</v>
      </c>
      <c r="J141" t="str">
        <f t="shared" si="8"/>
        <v>Weekday</v>
      </c>
      <c r="K141" t="str">
        <f t="shared" si="9"/>
        <v>High Value</v>
      </c>
      <c r="L141" t="str">
        <f t="shared" si="10"/>
        <v>Normal</v>
      </c>
    </row>
    <row r="142" spans="1:12" x14ac:dyDescent="0.25">
      <c r="A142" t="s">
        <v>225</v>
      </c>
      <c r="B142" t="s">
        <v>138</v>
      </c>
      <c r="C142" s="1">
        <v>45321</v>
      </c>
      <c r="D142">
        <v>38062</v>
      </c>
      <c r="E142" t="s">
        <v>32</v>
      </c>
      <c r="F142" t="s">
        <v>33</v>
      </c>
      <c r="G142" t="s">
        <v>25</v>
      </c>
      <c r="H142" t="s">
        <v>26</v>
      </c>
      <c r="I142" t="str">
        <f t="shared" si="11"/>
        <v>Tuesday</v>
      </c>
      <c r="J142" t="str">
        <f t="shared" si="8"/>
        <v>Weekday</v>
      </c>
      <c r="K142" t="str">
        <f t="shared" si="9"/>
        <v>Normal</v>
      </c>
      <c r="L142" t="str">
        <f t="shared" si="10"/>
        <v>Normal</v>
      </c>
    </row>
    <row r="143" spans="1:12" x14ac:dyDescent="0.25">
      <c r="A143" t="s">
        <v>226</v>
      </c>
      <c r="B143" t="s">
        <v>227</v>
      </c>
      <c r="C143" s="1">
        <v>45321</v>
      </c>
      <c r="D143">
        <v>34975</v>
      </c>
      <c r="E143" t="s">
        <v>41</v>
      </c>
      <c r="F143" t="s">
        <v>98</v>
      </c>
      <c r="G143" t="s">
        <v>43</v>
      </c>
      <c r="H143" t="s">
        <v>13</v>
      </c>
      <c r="I143" t="str">
        <f t="shared" si="11"/>
        <v>Tuesday</v>
      </c>
      <c r="J143" t="str">
        <f t="shared" si="8"/>
        <v>Weekday</v>
      </c>
      <c r="K143" t="str">
        <f t="shared" si="9"/>
        <v>Normal</v>
      </c>
      <c r="L143" t="str">
        <f t="shared" si="10"/>
        <v>Normal</v>
      </c>
    </row>
    <row r="144" spans="1:12" x14ac:dyDescent="0.25">
      <c r="A144" t="s">
        <v>228</v>
      </c>
      <c r="B144" t="s">
        <v>60</v>
      </c>
      <c r="C144" s="1">
        <v>45374</v>
      </c>
      <c r="D144">
        <v>19828</v>
      </c>
      <c r="E144" t="s">
        <v>21</v>
      </c>
      <c r="F144" t="s">
        <v>46</v>
      </c>
      <c r="G144" t="s">
        <v>12</v>
      </c>
      <c r="H144" t="s">
        <v>13</v>
      </c>
      <c r="I144" t="str">
        <f t="shared" si="11"/>
        <v>Saturday</v>
      </c>
      <c r="J144" t="str">
        <f t="shared" si="8"/>
        <v>Weekend</v>
      </c>
      <c r="K144" t="str">
        <f t="shared" si="9"/>
        <v>Normal</v>
      </c>
      <c r="L144" t="str">
        <f t="shared" si="10"/>
        <v>Normal</v>
      </c>
    </row>
    <row r="145" spans="1:12" x14ac:dyDescent="0.25">
      <c r="A145" t="s">
        <v>229</v>
      </c>
      <c r="B145" t="s">
        <v>131</v>
      </c>
      <c r="C145" s="1">
        <v>45393</v>
      </c>
      <c r="D145">
        <v>40619</v>
      </c>
      <c r="E145" t="s">
        <v>41</v>
      </c>
      <c r="F145" t="s">
        <v>61</v>
      </c>
      <c r="G145" t="s">
        <v>43</v>
      </c>
      <c r="H145" t="s">
        <v>13</v>
      </c>
      <c r="I145" t="str">
        <f t="shared" si="11"/>
        <v>Thursday</v>
      </c>
      <c r="J145" t="str">
        <f t="shared" si="8"/>
        <v>Weekday</v>
      </c>
      <c r="K145" t="str">
        <f t="shared" si="9"/>
        <v>Normal</v>
      </c>
      <c r="L145" t="str">
        <f t="shared" si="10"/>
        <v>Normal</v>
      </c>
    </row>
    <row r="146" spans="1:12" x14ac:dyDescent="0.25">
      <c r="A146" t="s">
        <v>230</v>
      </c>
      <c r="B146" t="s">
        <v>116</v>
      </c>
      <c r="C146" s="1">
        <v>45330</v>
      </c>
      <c r="D146">
        <v>92015</v>
      </c>
      <c r="E146" t="s">
        <v>37</v>
      </c>
      <c r="F146" t="s">
        <v>38</v>
      </c>
      <c r="G146" t="s">
        <v>50</v>
      </c>
      <c r="H146" t="s">
        <v>26</v>
      </c>
      <c r="I146" t="str">
        <f t="shared" si="11"/>
        <v>Thursday</v>
      </c>
      <c r="J146" t="str">
        <f t="shared" si="8"/>
        <v>Weekday</v>
      </c>
      <c r="K146" t="str">
        <f t="shared" si="9"/>
        <v>High Value</v>
      </c>
      <c r="L146" t="str">
        <f t="shared" si="10"/>
        <v>Suspicious</v>
      </c>
    </row>
    <row r="147" spans="1:12" x14ac:dyDescent="0.25">
      <c r="A147" t="s">
        <v>231</v>
      </c>
      <c r="B147" t="s">
        <v>187</v>
      </c>
      <c r="C147" s="1">
        <v>45368</v>
      </c>
      <c r="D147">
        <v>5524</v>
      </c>
      <c r="E147" t="s">
        <v>37</v>
      </c>
      <c r="F147" t="s">
        <v>38</v>
      </c>
      <c r="G147" t="s">
        <v>25</v>
      </c>
      <c r="H147" t="s">
        <v>26</v>
      </c>
      <c r="I147" t="str">
        <f t="shared" si="11"/>
        <v>Sunday</v>
      </c>
      <c r="J147" t="str">
        <f t="shared" si="8"/>
        <v>Weekend</v>
      </c>
      <c r="K147" t="str">
        <f t="shared" si="9"/>
        <v>Normal</v>
      </c>
      <c r="L147" t="str">
        <f t="shared" si="10"/>
        <v>Normal</v>
      </c>
    </row>
    <row r="148" spans="1:12" x14ac:dyDescent="0.25">
      <c r="A148" t="s">
        <v>232</v>
      </c>
      <c r="B148" t="s">
        <v>75</v>
      </c>
      <c r="C148" s="1">
        <v>45295</v>
      </c>
      <c r="D148">
        <v>12270</v>
      </c>
      <c r="E148" t="s">
        <v>21</v>
      </c>
      <c r="F148" t="s">
        <v>22</v>
      </c>
      <c r="G148" t="s">
        <v>25</v>
      </c>
      <c r="H148" t="s">
        <v>13</v>
      </c>
      <c r="I148" t="str">
        <f t="shared" si="11"/>
        <v>Thursday</v>
      </c>
      <c r="J148" t="str">
        <f t="shared" si="8"/>
        <v>Weekday</v>
      </c>
      <c r="K148" t="str">
        <f t="shared" si="9"/>
        <v>Normal</v>
      </c>
      <c r="L148" t="str">
        <f t="shared" si="10"/>
        <v>Normal</v>
      </c>
    </row>
    <row r="149" spans="1:12" x14ac:dyDescent="0.25">
      <c r="A149" t="s">
        <v>233</v>
      </c>
      <c r="B149" t="s">
        <v>31</v>
      </c>
      <c r="C149" s="1">
        <v>45365</v>
      </c>
      <c r="D149">
        <v>5573</v>
      </c>
      <c r="E149" t="s">
        <v>10</v>
      </c>
      <c r="F149" t="s">
        <v>49</v>
      </c>
      <c r="G149" t="s">
        <v>43</v>
      </c>
      <c r="H149" t="s">
        <v>26</v>
      </c>
      <c r="I149" t="str">
        <f t="shared" si="11"/>
        <v>Thursday</v>
      </c>
      <c r="J149" t="str">
        <f t="shared" si="8"/>
        <v>Weekday</v>
      </c>
      <c r="K149" t="str">
        <f t="shared" si="9"/>
        <v>Normal</v>
      </c>
      <c r="L149" t="str">
        <f t="shared" si="10"/>
        <v>Normal</v>
      </c>
    </row>
    <row r="150" spans="1:12" x14ac:dyDescent="0.25">
      <c r="A150" t="s">
        <v>234</v>
      </c>
      <c r="B150" t="s">
        <v>147</v>
      </c>
      <c r="C150" s="1">
        <v>45366</v>
      </c>
      <c r="D150">
        <v>57432</v>
      </c>
      <c r="E150" t="s">
        <v>32</v>
      </c>
      <c r="F150" t="s">
        <v>92</v>
      </c>
      <c r="G150" t="s">
        <v>34</v>
      </c>
      <c r="H150" t="s">
        <v>26</v>
      </c>
      <c r="I150" t="str">
        <f t="shared" si="11"/>
        <v>Friday</v>
      </c>
      <c r="J150" t="str">
        <f t="shared" si="8"/>
        <v>Weekday</v>
      </c>
      <c r="K150" t="str">
        <f t="shared" si="9"/>
        <v>High Value</v>
      </c>
      <c r="L150" t="str">
        <f t="shared" si="10"/>
        <v>Normal</v>
      </c>
    </row>
    <row r="151" spans="1:12" x14ac:dyDescent="0.25">
      <c r="A151" t="s">
        <v>235</v>
      </c>
      <c r="B151" t="s">
        <v>112</v>
      </c>
      <c r="C151" s="1">
        <v>45334</v>
      </c>
      <c r="D151">
        <v>42381</v>
      </c>
      <c r="E151" t="s">
        <v>32</v>
      </c>
      <c r="F151" t="s">
        <v>79</v>
      </c>
      <c r="G151" t="s">
        <v>12</v>
      </c>
      <c r="H151" t="s">
        <v>26</v>
      </c>
      <c r="I151" t="str">
        <f t="shared" si="11"/>
        <v>Monday</v>
      </c>
      <c r="J151" t="str">
        <f t="shared" si="8"/>
        <v>Weekday</v>
      </c>
      <c r="K151" t="str">
        <f t="shared" si="9"/>
        <v>Normal</v>
      </c>
      <c r="L151" t="str">
        <f t="shared" si="10"/>
        <v>Normal</v>
      </c>
    </row>
    <row r="152" spans="1:12" x14ac:dyDescent="0.25">
      <c r="A152" t="s">
        <v>236</v>
      </c>
      <c r="B152" t="s">
        <v>116</v>
      </c>
      <c r="C152" s="1">
        <v>45355</v>
      </c>
      <c r="D152">
        <v>38077</v>
      </c>
      <c r="E152" t="s">
        <v>37</v>
      </c>
      <c r="F152" t="s">
        <v>38</v>
      </c>
      <c r="G152" t="s">
        <v>18</v>
      </c>
      <c r="H152" t="s">
        <v>13</v>
      </c>
      <c r="I152" t="str">
        <f t="shared" si="11"/>
        <v>Monday</v>
      </c>
      <c r="J152" t="str">
        <f t="shared" si="8"/>
        <v>Weekday</v>
      </c>
      <c r="K152" t="str">
        <f t="shared" si="9"/>
        <v>Normal</v>
      </c>
      <c r="L152" t="str">
        <f t="shared" si="10"/>
        <v>Normal</v>
      </c>
    </row>
    <row r="153" spans="1:12" x14ac:dyDescent="0.25">
      <c r="A153" t="s">
        <v>237</v>
      </c>
      <c r="B153" t="s">
        <v>187</v>
      </c>
      <c r="C153" s="1">
        <v>45332</v>
      </c>
      <c r="D153">
        <v>33382</v>
      </c>
      <c r="E153" t="s">
        <v>37</v>
      </c>
      <c r="F153" t="s">
        <v>38</v>
      </c>
      <c r="G153" t="s">
        <v>34</v>
      </c>
      <c r="H153" t="s">
        <v>26</v>
      </c>
      <c r="I153" t="str">
        <f t="shared" si="11"/>
        <v>Saturday</v>
      </c>
      <c r="J153" t="str">
        <f t="shared" si="8"/>
        <v>Weekend</v>
      </c>
      <c r="K153" t="str">
        <f t="shared" si="9"/>
        <v>Normal</v>
      </c>
      <c r="L153" t="str">
        <f t="shared" si="10"/>
        <v>Normal</v>
      </c>
    </row>
    <row r="154" spans="1:12" x14ac:dyDescent="0.25">
      <c r="A154" t="s">
        <v>238</v>
      </c>
      <c r="B154" t="s">
        <v>224</v>
      </c>
      <c r="C154" s="1">
        <v>45376</v>
      </c>
      <c r="D154">
        <v>114249</v>
      </c>
      <c r="E154" t="s">
        <v>21</v>
      </c>
      <c r="F154" t="s">
        <v>46</v>
      </c>
      <c r="G154" t="s">
        <v>43</v>
      </c>
      <c r="H154" t="s">
        <v>13</v>
      </c>
      <c r="I154" t="str">
        <f t="shared" si="11"/>
        <v>Monday</v>
      </c>
      <c r="J154" t="str">
        <f t="shared" si="8"/>
        <v>Weekday</v>
      </c>
      <c r="K154" t="str">
        <f t="shared" si="9"/>
        <v>High Value</v>
      </c>
      <c r="L154" t="str">
        <f t="shared" si="10"/>
        <v>Suspicious</v>
      </c>
    </row>
    <row r="155" spans="1:12" x14ac:dyDescent="0.25">
      <c r="A155" t="s">
        <v>239</v>
      </c>
      <c r="B155" t="s">
        <v>91</v>
      </c>
      <c r="C155" s="1">
        <v>45338</v>
      </c>
      <c r="D155">
        <v>81909</v>
      </c>
      <c r="E155" t="s">
        <v>16</v>
      </c>
      <c r="F155" t="s">
        <v>52</v>
      </c>
      <c r="G155" t="s">
        <v>25</v>
      </c>
      <c r="H155" t="s">
        <v>26</v>
      </c>
      <c r="I155" t="str">
        <f t="shared" si="11"/>
        <v>Friday</v>
      </c>
      <c r="J155" t="str">
        <f t="shared" si="8"/>
        <v>Weekday</v>
      </c>
      <c r="K155" t="str">
        <f t="shared" si="9"/>
        <v>High Value</v>
      </c>
      <c r="L155" t="str">
        <f t="shared" si="10"/>
        <v>Suspicious</v>
      </c>
    </row>
    <row r="156" spans="1:12" x14ac:dyDescent="0.25">
      <c r="A156" t="s">
        <v>240</v>
      </c>
      <c r="B156" t="s">
        <v>63</v>
      </c>
      <c r="C156" s="1">
        <v>45326</v>
      </c>
      <c r="D156">
        <v>72287</v>
      </c>
      <c r="E156" t="s">
        <v>41</v>
      </c>
      <c r="F156" t="s">
        <v>98</v>
      </c>
      <c r="G156" t="s">
        <v>50</v>
      </c>
      <c r="H156" t="s">
        <v>26</v>
      </c>
      <c r="I156" t="str">
        <f t="shared" si="11"/>
        <v>Sunday</v>
      </c>
      <c r="J156" t="str">
        <f t="shared" si="8"/>
        <v>Weekend</v>
      </c>
      <c r="K156" t="str">
        <f t="shared" si="9"/>
        <v>High Value</v>
      </c>
      <c r="L156" t="str">
        <f t="shared" si="10"/>
        <v>Normal</v>
      </c>
    </row>
    <row r="157" spans="1:12" x14ac:dyDescent="0.25">
      <c r="A157" t="s">
        <v>241</v>
      </c>
      <c r="B157" t="s">
        <v>136</v>
      </c>
      <c r="C157" s="1">
        <v>45307</v>
      </c>
      <c r="D157">
        <v>4083</v>
      </c>
      <c r="E157" t="s">
        <v>10</v>
      </c>
      <c r="F157" t="s">
        <v>68</v>
      </c>
      <c r="G157" t="s">
        <v>18</v>
      </c>
      <c r="H157" t="s">
        <v>13</v>
      </c>
      <c r="I157" t="str">
        <f t="shared" si="11"/>
        <v>Tuesday</v>
      </c>
      <c r="J157" t="str">
        <f t="shared" si="8"/>
        <v>Weekday</v>
      </c>
      <c r="K157" t="str">
        <f t="shared" si="9"/>
        <v>Normal</v>
      </c>
      <c r="L157" t="str">
        <f t="shared" si="10"/>
        <v>Normal</v>
      </c>
    </row>
    <row r="158" spans="1:12" x14ac:dyDescent="0.25">
      <c r="A158" t="s">
        <v>242</v>
      </c>
      <c r="B158" t="s">
        <v>131</v>
      </c>
      <c r="C158" s="1">
        <v>45331</v>
      </c>
      <c r="D158">
        <v>72499</v>
      </c>
      <c r="E158" t="s">
        <v>10</v>
      </c>
      <c r="F158" t="s">
        <v>49</v>
      </c>
      <c r="G158" t="s">
        <v>18</v>
      </c>
      <c r="H158" t="s">
        <v>26</v>
      </c>
      <c r="I158" t="str">
        <f t="shared" si="11"/>
        <v>Friday</v>
      </c>
      <c r="J158" t="str">
        <f t="shared" si="8"/>
        <v>Weekday</v>
      </c>
      <c r="K158" t="str">
        <f t="shared" si="9"/>
        <v>High Value</v>
      </c>
      <c r="L158" t="str">
        <f t="shared" si="10"/>
        <v>Normal</v>
      </c>
    </row>
    <row r="159" spans="1:12" x14ac:dyDescent="0.25">
      <c r="A159" t="s">
        <v>243</v>
      </c>
      <c r="B159" t="s">
        <v>60</v>
      </c>
      <c r="C159" s="1">
        <v>45399</v>
      </c>
      <c r="D159">
        <v>119959</v>
      </c>
      <c r="E159" t="s">
        <v>41</v>
      </c>
      <c r="F159" t="s">
        <v>42</v>
      </c>
      <c r="G159" t="s">
        <v>43</v>
      </c>
      <c r="H159" t="s">
        <v>13</v>
      </c>
      <c r="I159" t="str">
        <f t="shared" si="11"/>
        <v>Wednesday</v>
      </c>
      <c r="J159" t="str">
        <f t="shared" si="8"/>
        <v>Weekday</v>
      </c>
      <c r="K159" t="str">
        <f t="shared" si="9"/>
        <v>High Value</v>
      </c>
      <c r="L159" t="str">
        <f t="shared" si="10"/>
        <v>Suspicious</v>
      </c>
    </row>
    <row r="160" spans="1:12" x14ac:dyDescent="0.25">
      <c r="A160" t="s">
        <v>244</v>
      </c>
      <c r="B160" t="s">
        <v>245</v>
      </c>
      <c r="C160" s="1">
        <v>45355</v>
      </c>
      <c r="D160">
        <v>94226</v>
      </c>
      <c r="E160" t="s">
        <v>10</v>
      </c>
      <c r="F160" t="s">
        <v>11</v>
      </c>
      <c r="G160" t="s">
        <v>18</v>
      </c>
      <c r="H160" t="s">
        <v>26</v>
      </c>
      <c r="I160" t="str">
        <f t="shared" si="11"/>
        <v>Monday</v>
      </c>
      <c r="J160" t="str">
        <f t="shared" si="8"/>
        <v>Weekday</v>
      </c>
      <c r="K160" t="str">
        <f t="shared" si="9"/>
        <v>High Value</v>
      </c>
      <c r="L160" t="str">
        <f t="shared" si="10"/>
        <v>Suspicious</v>
      </c>
    </row>
    <row r="161" spans="1:12" x14ac:dyDescent="0.25">
      <c r="A161" t="s">
        <v>246</v>
      </c>
      <c r="B161" t="s">
        <v>206</v>
      </c>
      <c r="C161" s="1">
        <v>45352</v>
      </c>
      <c r="D161">
        <v>32246</v>
      </c>
      <c r="E161" t="s">
        <v>37</v>
      </c>
      <c r="F161" t="s">
        <v>38</v>
      </c>
      <c r="G161" t="s">
        <v>18</v>
      </c>
      <c r="H161" t="s">
        <v>13</v>
      </c>
      <c r="I161" t="str">
        <f t="shared" si="11"/>
        <v>Friday</v>
      </c>
      <c r="J161" t="str">
        <f t="shared" si="8"/>
        <v>Weekday</v>
      </c>
      <c r="K161" t="str">
        <f t="shared" si="9"/>
        <v>Normal</v>
      </c>
      <c r="L161" t="str">
        <f t="shared" si="10"/>
        <v>Normal</v>
      </c>
    </row>
    <row r="162" spans="1:12" x14ac:dyDescent="0.25">
      <c r="A162" t="s">
        <v>247</v>
      </c>
      <c r="B162" t="s">
        <v>204</v>
      </c>
      <c r="C162" s="1">
        <v>45409</v>
      </c>
      <c r="D162">
        <v>78861</v>
      </c>
      <c r="E162" t="s">
        <v>37</v>
      </c>
      <c r="F162" t="s">
        <v>58</v>
      </c>
      <c r="G162" t="s">
        <v>34</v>
      </c>
      <c r="H162" t="s">
        <v>26</v>
      </c>
      <c r="I162" t="str">
        <f t="shared" si="11"/>
        <v>Saturday</v>
      </c>
      <c r="J162" t="str">
        <f t="shared" si="8"/>
        <v>Weekend</v>
      </c>
      <c r="K162" t="str">
        <f t="shared" si="9"/>
        <v>High Value</v>
      </c>
      <c r="L162" t="str">
        <f t="shared" si="10"/>
        <v>Suspicious</v>
      </c>
    </row>
    <row r="163" spans="1:12" x14ac:dyDescent="0.25">
      <c r="A163" t="s">
        <v>248</v>
      </c>
      <c r="B163" t="s">
        <v>249</v>
      </c>
      <c r="C163" s="1">
        <v>45411</v>
      </c>
      <c r="D163">
        <v>103547</v>
      </c>
      <c r="E163" t="s">
        <v>37</v>
      </c>
      <c r="F163" t="s">
        <v>38</v>
      </c>
      <c r="G163" t="s">
        <v>34</v>
      </c>
      <c r="H163" t="s">
        <v>26</v>
      </c>
      <c r="I163" t="str">
        <f t="shared" si="11"/>
        <v>Monday</v>
      </c>
      <c r="J163" t="str">
        <f t="shared" si="8"/>
        <v>Weekday</v>
      </c>
      <c r="K163" t="str">
        <f t="shared" si="9"/>
        <v>High Value</v>
      </c>
      <c r="L163" t="str">
        <f t="shared" si="10"/>
        <v>Suspicious</v>
      </c>
    </row>
    <row r="164" spans="1:12" x14ac:dyDescent="0.25">
      <c r="A164" t="s">
        <v>250</v>
      </c>
      <c r="B164" t="s">
        <v>94</v>
      </c>
      <c r="C164" s="1">
        <v>45399</v>
      </c>
      <c r="D164">
        <v>77231</v>
      </c>
      <c r="E164" t="s">
        <v>10</v>
      </c>
      <c r="F164" t="s">
        <v>68</v>
      </c>
      <c r="G164" t="s">
        <v>25</v>
      </c>
      <c r="H164" t="s">
        <v>26</v>
      </c>
      <c r="I164" t="str">
        <f t="shared" si="11"/>
        <v>Wednesday</v>
      </c>
      <c r="J164" t="str">
        <f t="shared" si="8"/>
        <v>Weekday</v>
      </c>
      <c r="K164" t="str">
        <f t="shared" si="9"/>
        <v>High Value</v>
      </c>
      <c r="L164" t="str">
        <f t="shared" si="10"/>
        <v>Suspicious</v>
      </c>
    </row>
    <row r="165" spans="1:12" x14ac:dyDescent="0.25">
      <c r="A165" t="s">
        <v>251</v>
      </c>
      <c r="B165" t="s">
        <v>28</v>
      </c>
      <c r="C165" s="1">
        <v>45360</v>
      </c>
      <c r="D165">
        <v>63783</v>
      </c>
      <c r="E165" t="s">
        <v>16</v>
      </c>
      <c r="F165" t="s">
        <v>52</v>
      </c>
      <c r="G165" t="s">
        <v>50</v>
      </c>
      <c r="H165" t="s">
        <v>26</v>
      </c>
      <c r="I165" t="str">
        <f t="shared" si="11"/>
        <v>Saturday</v>
      </c>
      <c r="J165" t="str">
        <f t="shared" si="8"/>
        <v>Weekend</v>
      </c>
      <c r="K165" t="str">
        <f t="shared" si="9"/>
        <v>High Value</v>
      </c>
      <c r="L165" t="str">
        <f t="shared" si="10"/>
        <v>Normal</v>
      </c>
    </row>
    <row r="166" spans="1:12" x14ac:dyDescent="0.25">
      <c r="A166" t="s">
        <v>252</v>
      </c>
      <c r="B166" t="s">
        <v>175</v>
      </c>
      <c r="C166" s="1">
        <v>45403</v>
      </c>
      <c r="D166">
        <v>25027</v>
      </c>
      <c r="E166" t="s">
        <v>37</v>
      </c>
      <c r="F166" t="s">
        <v>58</v>
      </c>
      <c r="G166" t="s">
        <v>18</v>
      </c>
      <c r="H166" t="s">
        <v>26</v>
      </c>
      <c r="I166" t="str">
        <f t="shared" si="11"/>
        <v>Sunday</v>
      </c>
      <c r="J166" t="str">
        <f t="shared" si="8"/>
        <v>Weekend</v>
      </c>
      <c r="K166" t="str">
        <f t="shared" si="9"/>
        <v>Normal</v>
      </c>
      <c r="L166" t="str">
        <f t="shared" si="10"/>
        <v>Normal</v>
      </c>
    </row>
    <row r="167" spans="1:12" x14ac:dyDescent="0.25">
      <c r="A167" t="s">
        <v>253</v>
      </c>
      <c r="B167" t="s">
        <v>84</v>
      </c>
      <c r="C167" s="1">
        <v>45344</v>
      </c>
      <c r="D167">
        <v>6020</v>
      </c>
      <c r="E167" t="s">
        <v>16</v>
      </c>
      <c r="F167" t="s">
        <v>52</v>
      </c>
      <c r="G167" t="s">
        <v>25</v>
      </c>
      <c r="H167" t="s">
        <v>26</v>
      </c>
      <c r="I167" t="str">
        <f t="shared" si="11"/>
        <v>Thursday</v>
      </c>
      <c r="J167" t="str">
        <f t="shared" si="8"/>
        <v>Weekday</v>
      </c>
      <c r="K167" t="str">
        <f t="shared" si="9"/>
        <v>Normal</v>
      </c>
      <c r="L167" t="str">
        <f t="shared" si="10"/>
        <v>Normal</v>
      </c>
    </row>
    <row r="168" spans="1:12" x14ac:dyDescent="0.25">
      <c r="A168" t="s">
        <v>254</v>
      </c>
      <c r="B168" t="s">
        <v>114</v>
      </c>
      <c r="C168" s="1">
        <v>45341</v>
      </c>
      <c r="D168">
        <v>87291</v>
      </c>
      <c r="E168" t="s">
        <v>10</v>
      </c>
      <c r="F168" t="s">
        <v>68</v>
      </c>
      <c r="G168" t="s">
        <v>12</v>
      </c>
      <c r="H168" t="s">
        <v>26</v>
      </c>
      <c r="I168" t="str">
        <f t="shared" si="11"/>
        <v>Monday</v>
      </c>
      <c r="J168" t="str">
        <f t="shared" si="8"/>
        <v>Weekday</v>
      </c>
      <c r="K168" t="str">
        <f t="shared" si="9"/>
        <v>High Value</v>
      </c>
      <c r="L168" t="str">
        <f t="shared" si="10"/>
        <v>Suspicious</v>
      </c>
    </row>
    <row r="169" spans="1:12" x14ac:dyDescent="0.25">
      <c r="A169" t="s">
        <v>255</v>
      </c>
      <c r="B169" t="s">
        <v>256</v>
      </c>
      <c r="C169" s="1">
        <v>45356</v>
      </c>
      <c r="D169">
        <v>77656</v>
      </c>
      <c r="E169" t="s">
        <v>41</v>
      </c>
      <c r="F169" t="s">
        <v>61</v>
      </c>
      <c r="G169" t="s">
        <v>34</v>
      </c>
      <c r="H169" t="s">
        <v>26</v>
      </c>
      <c r="I169" t="str">
        <f t="shared" si="11"/>
        <v>Tuesday</v>
      </c>
      <c r="J169" t="str">
        <f t="shared" si="8"/>
        <v>Weekday</v>
      </c>
      <c r="K169" t="str">
        <f t="shared" si="9"/>
        <v>High Value</v>
      </c>
      <c r="L169" t="str">
        <f t="shared" si="10"/>
        <v>Suspicious</v>
      </c>
    </row>
    <row r="170" spans="1:12" x14ac:dyDescent="0.25">
      <c r="A170" t="s">
        <v>257</v>
      </c>
      <c r="B170" t="s">
        <v>91</v>
      </c>
      <c r="C170" s="1">
        <v>45408</v>
      </c>
      <c r="D170">
        <v>60190</v>
      </c>
      <c r="E170" t="s">
        <v>41</v>
      </c>
      <c r="F170" t="s">
        <v>42</v>
      </c>
      <c r="G170" t="s">
        <v>25</v>
      </c>
      <c r="H170" t="s">
        <v>13</v>
      </c>
      <c r="I170" t="str">
        <f t="shared" si="11"/>
        <v>Friday</v>
      </c>
      <c r="J170" t="str">
        <f t="shared" si="8"/>
        <v>Weekday</v>
      </c>
      <c r="K170" t="str">
        <f t="shared" si="9"/>
        <v>High Value</v>
      </c>
      <c r="L170" t="str">
        <f t="shared" si="10"/>
        <v>Normal</v>
      </c>
    </row>
    <row r="171" spans="1:12" x14ac:dyDescent="0.25">
      <c r="A171" t="s">
        <v>258</v>
      </c>
      <c r="B171" t="s">
        <v>65</v>
      </c>
      <c r="C171" s="1">
        <v>45311</v>
      </c>
      <c r="D171">
        <v>10107</v>
      </c>
      <c r="E171" t="s">
        <v>37</v>
      </c>
      <c r="F171" t="s">
        <v>38</v>
      </c>
      <c r="G171" t="s">
        <v>50</v>
      </c>
      <c r="H171" t="s">
        <v>26</v>
      </c>
      <c r="I171" t="str">
        <f t="shared" si="11"/>
        <v>Saturday</v>
      </c>
      <c r="J171" t="str">
        <f t="shared" si="8"/>
        <v>Weekend</v>
      </c>
      <c r="K171" t="str">
        <f t="shared" si="9"/>
        <v>Normal</v>
      </c>
      <c r="L171" t="str">
        <f t="shared" si="10"/>
        <v>Normal</v>
      </c>
    </row>
    <row r="172" spans="1:12" x14ac:dyDescent="0.25">
      <c r="A172" t="s">
        <v>259</v>
      </c>
      <c r="B172" t="s">
        <v>116</v>
      </c>
      <c r="C172" s="1">
        <v>45342</v>
      </c>
      <c r="D172">
        <v>85475</v>
      </c>
      <c r="E172" t="s">
        <v>21</v>
      </c>
      <c r="F172" t="s">
        <v>22</v>
      </c>
      <c r="G172" t="s">
        <v>50</v>
      </c>
      <c r="H172" t="s">
        <v>26</v>
      </c>
      <c r="I172" t="str">
        <f t="shared" si="11"/>
        <v>Tuesday</v>
      </c>
      <c r="J172" t="str">
        <f t="shared" si="8"/>
        <v>Weekday</v>
      </c>
      <c r="K172" t="str">
        <f t="shared" si="9"/>
        <v>High Value</v>
      </c>
      <c r="L172" t="str">
        <f t="shared" si="10"/>
        <v>Suspicious</v>
      </c>
    </row>
    <row r="173" spans="1:12" x14ac:dyDescent="0.25">
      <c r="A173" t="s">
        <v>260</v>
      </c>
      <c r="B173" t="s">
        <v>56</v>
      </c>
      <c r="C173" s="1">
        <v>45383</v>
      </c>
      <c r="D173">
        <v>116618</v>
      </c>
      <c r="E173" t="s">
        <v>32</v>
      </c>
      <c r="F173" t="s">
        <v>92</v>
      </c>
      <c r="G173" t="s">
        <v>18</v>
      </c>
      <c r="H173" t="s">
        <v>13</v>
      </c>
      <c r="I173" t="str">
        <f t="shared" si="11"/>
        <v>Monday</v>
      </c>
      <c r="J173" t="str">
        <f t="shared" si="8"/>
        <v>Weekday</v>
      </c>
      <c r="K173" t="str">
        <f t="shared" si="9"/>
        <v>High Value</v>
      </c>
      <c r="L173" t="str">
        <f t="shared" si="10"/>
        <v>Suspicious</v>
      </c>
    </row>
    <row r="174" spans="1:12" x14ac:dyDescent="0.25">
      <c r="A174" t="s">
        <v>261</v>
      </c>
      <c r="B174" t="s">
        <v>48</v>
      </c>
      <c r="C174" s="1">
        <v>45322</v>
      </c>
      <c r="D174">
        <v>83027</v>
      </c>
      <c r="E174" t="s">
        <v>21</v>
      </c>
      <c r="F174" t="s">
        <v>46</v>
      </c>
      <c r="G174" t="s">
        <v>12</v>
      </c>
      <c r="H174" t="s">
        <v>13</v>
      </c>
      <c r="I174" t="str">
        <f t="shared" si="11"/>
        <v>Wednesday</v>
      </c>
      <c r="J174" t="str">
        <f t="shared" si="8"/>
        <v>Weekday</v>
      </c>
      <c r="K174" t="str">
        <f t="shared" si="9"/>
        <v>High Value</v>
      </c>
      <c r="L174" t="str">
        <f t="shared" si="10"/>
        <v>Suspicious</v>
      </c>
    </row>
    <row r="175" spans="1:12" x14ac:dyDescent="0.25">
      <c r="A175" t="s">
        <v>262</v>
      </c>
      <c r="B175" t="s">
        <v>36</v>
      </c>
      <c r="C175" s="1">
        <v>45389</v>
      </c>
      <c r="D175">
        <v>83366</v>
      </c>
      <c r="E175" t="s">
        <v>37</v>
      </c>
      <c r="F175" t="s">
        <v>58</v>
      </c>
      <c r="G175" t="s">
        <v>43</v>
      </c>
      <c r="H175" t="s">
        <v>13</v>
      </c>
      <c r="I175" t="str">
        <f t="shared" si="11"/>
        <v>Sunday</v>
      </c>
      <c r="J175" t="str">
        <f t="shared" si="8"/>
        <v>Weekend</v>
      </c>
      <c r="K175" t="str">
        <f t="shared" si="9"/>
        <v>High Value</v>
      </c>
      <c r="L175" t="str">
        <f t="shared" si="10"/>
        <v>Suspicious</v>
      </c>
    </row>
    <row r="176" spans="1:12" x14ac:dyDescent="0.25">
      <c r="A176" t="s">
        <v>263</v>
      </c>
      <c r="B176" t="s">
        <v>94</v>
      </c>
      <c r="C176" s="1">
        <v>45407</v>
      </c>
      <c r="D176">
        <v>4094</v>
      </c>
      <c r="E176" t="s">
        <v>10</v>
      </c>
      <c r="F176" t="s">
        <v>49</v>
      </c>
      <c r="G176" t="s">
        <v>50</v>
      </c>
      <c r="H176" t="s">
        <v>13</v>
      </c>
      <c r="I176" t="str">
        <f t="shared" si="11"/>
        <v>Thursday</v>
      </c>
      <c r="J176" t="str">
        <f t="shared" si="8"/>
        <v>Weekday</v>
      </c>
      <c r="K176" t="str">
        <f t="shared" si="9"/>
        <v>Normal</v>
      </c>
      <c r="L176" t="str">
        <f t="shared" si="10"/>
        <v>Normal</v>
      </c>
    </row>
    <row r="177" spans="1:12" x14ac:dyDescent="0.25">
      <c r="A177" t="s">
        <v>264</v>
      </c>
      <c r="B177" t="s">
        <v>265</v>
      </c>
      <c r="C177" s="1">
        <v>45339</v>
      </c>
      <c r="D177">
        <v>56750</v>
      </c>
      <c r="E177" t="s">
        <v>32</v>
      </c>
      <c r="F177" t="s">
        <v>139</v>
      </c>
      <c r="G177" t="s">
        <v>12</v>
      </c>
      <c r="H177" t="s">
        <v>26</v>
      </c>
      <c r="I177" t="str">
        <f t="shared" si="11"/>
        <v>Saturday</v>
      </c>
      <c r="J177" t="str">
        <f t="shared" si="8"/>
        <v>Weekend</v>
      </c>
      <c r="K177" t="str">
        <f t="shared" si="9"/>
        <v>High Value</v>
      </c>
      <c r="L177" t="str">
        <f t="shared" si="10"/>
        <v>Normal</v>
      </c>
    </row>
    <row r="178" spans="1:12" x14ac:dyDescent="0.25">
      <c r="A178" t="s">
        <v>266</v>
      </c>
      <c r="B178" t="s">
        <v>227</v>
      </c>
      <c r="C178" s="1">
        <v>45393</v>
      </c>
      <c r="D178">
        <v>23900</v>
      </c>
      <c r="E178" t="s">
        <v>21</v>
      </c>
      <c r="F178" t="s">
        <v>22</v>
      </c>
      <c r="G178" t="s">
        <v>12</v>
      </c>
      <c r="H178" t="s">
        <v>13</v>
      </c>
      <c r="I178" t="str">
        <f t="shared" si="11"/>
        <v>Thursday</v>
      </c>
      <c r="J178" t="str">
        <f t="shared" si="8"/>
        <v>Weekday</v>
      </c>
      <c r="K178" t="str">
        <f t="shared" si="9"/>
        <v>Normal</v>
      </c>
      <c r="L178" t="str">
        <f t="shared" si="10"/>
        <v>Normal</v>
      </c>
    </row>
    <row r="179" spans="1:12" x14ac:dyDescent="0.25">
      <c r="A179" t="s">
        <v>267</v>
      </c>
      <c r="B179" t="s">
        <v>114</v>
      </c>
      <c r="C179" s="1">
        <v>45371</v>
      </c>
      <c r="D179">
        <v>89839</v>
      </c>
      <c r="E179" t="s">
        <v>21</v>
      </c>
      <c r="F179" t="s">
        <v>22</v>
      </c>
      <c r="G179" t="s">
        <v>43</v>
      </c>
      <c r="H179" t="s">
        <v>13</v>
      </c>
      <c r="I179" t="str">
        <f t="shared" si="11"/>
        <v>Wednesday</v>
      </c>
      <c r="J179" t="str">
        <f t="shared" si="8"/>
        <v>Weekday</v>
      </c>
      <c r="K179" t="str">
        <f t="shared" si="9"/>
        <v>High Value</v>
      </c>
      <c r="L179" t="str">
        <f t="shared" si="10"/>
        <v>Suspicious</v>
      </c>
    </row>
    <row r="180" spans="1:12" x14ac:dyDescent="0.25">
      <c r="A180" t="s">
        <v>268</v>
      </c>
      <c r="B180" t="s">
        <v>105</v>
      </c>
      <c r="C180" s="1">
        <v>45373</v>
      </c>
      <c r="D180">
        <v>33589</v>
      </c>
      <c r="E180" t="s">
        <v>16</v>
      </c>
      <c r="F180" t="s">
        <v>52</v>
      </c>
      <c r="G180" t="s">
        <v>50</v>
      </c>
      <c r="H180" t="s">
        <v>13</v>
      </c>
      <c r="I180" t="str">
        <f t="shared" si="11"/>
        <v>Friday</v>
      </c>
      <c r="J180" t="str">
        <f t="shared" si="8"/>
        <v>Weekday</v>
      </c>
      <c r="K180" t="str">
        <f t="shared" si="9"/>
        <v>Normal</v>
      </c>
      <c r="L180" t="str">
        <f t="shared" si="10"/>
        <v>Normal</v>
      </c>
    </row>
    <row r="181" spans="1:12" x14ac:dyDescent="0.25">
      <c r="A181" t="s">
        <v>269</v>
      </c>
      <c r="B181" t="s">
        <v>45</v>
      </c>
      <c r="C181" s="1">
        <v>45378</v>
      </c>
      <c r="D181">
        <v>71943</v>
      </c>
      <c r="E181" t="s">
        <v>37</v>
      </c>
      <c r="F181" t="s">
        <v>58</v>
      </c>
      <c r="G181" t="s">
        <v>34</v>
      </c>
      <c r="H181" t="s">
        <v>26</v>
      </c>
      <c r="I181" t="str">
        <f t="shared" si="11"/>
        <v>Wednesday</v>
      </c>
      <c r="J181" t="str">
        <f t="shared" si="8"/>
        <v>Weekday</v>
      </c>
      <c r="K181" t="str">
        <f t="shared" si="9"/>
        <v>High Value</v>
      </c>
      <c r="L181" t="str">
        <f t="shared" si="10"/>
        <v>Normal</v>
      </c>
    </row>
    <row r="182" spans="1:12" x14ac:dyDescent="0.25">
      <c r="A182" t="s">
        <v>270</v>
      </c>
      <c r="B182" t="s">
        <v>97</v>
      </c>
      <c r="C182" s="1">
        <v>45330</v>
      </c>
      <c r="D182">
        <v>84046</v>
      </c>
      <c r="E182" t="s">
        <v>32</v>
      </c>
      <c r="F182" t="s">
        <v>92</v>
      </c>
      <c r="G182" t="s">
        <v>25</v>
      </c>
      <c r="H182" t="s">
        <v>26</v>
      </c>
      <c r="I182" t="str">
        <f t="shared" si="11"/>
        <v>Thursday</v>
      </c>
      <c r="J182" t="str">
        <f t="shared" si="8"/>
        <v>Weekday</v>
      </c>
      <c r="K182" t="str">
        <f t="shared" si="9"/>
        <v>High Value</v>
      </c>
      <c r="L182" t="str">
        <f t="shared" si="10"/>
        <v>Suspicious</v>
      </c>
    </row>
    <row r="183" spans="1:12" x14ac:dyDescent="0.25">
      <c r="A183" t="s">
        <v>271</v>
      </c>
      <c r="B183" t="s">
        <v>94</v>
      </c>
      <c r="C183" s="1">
        <v>45317</v>
      </c>
      <c r="D183">
        <v>50722</v>
      </c>
      <c r="E183" t="s">
        <v>37</v>
      </c>
      <c r="F183" t="s">
        <v>38</v>
      </c>
      <c r="G183" t="s">
        <v>34</v>
      </c>
      <c r="H183" t="s">
        <v>13</v>
      </c>
      <c r="I183" t="str">
        <f t="shared" si="11"/>
        <v>Friday</v>
      </c>
      <c r="J183" t="str">
        <f t="shared" si="8"/>
        <v>Weekday</v>
      </c>
      <c r="K183" t="str">
        <f t="shared" si="9"/>
        <v>High Value</v>
      </c>
      <c r="L183" t="str">
        <f t="shared" si="10"/>
        <v>Normal</v>
      </c>
    </row>
    <row r="184" spans="1:12" x14ac:dyDescent="0.25">
      <c r="A184" t="s">
        <v>272</v>
      </c>
      <c r="B184" t="s">
        <v>88</v>
      </c>
      <c r="C184" s="1">
        <v>45337</v>
      </c>
      <c r="D184">
        <v>75641</v>
      </c>
      <c r="E184" t="s">
        <v>37</v>
      </c>
      <c r="F184" t="s">
        <v>38</v>
      </c>
      <c r="G184" t="s">
        <v>25</v>
      </c>
      <c r="H184" t="s">
        <v>26</v>
      </c>
      <c r="I184" t="str">
        <f t="shared" si="11"/>
        <v>Thursday</v>
      </c>
      <c r="J184" t="str">
        <f t="shared" si="8"/>
        <v>Weekday</v>
      </c>
      <c r="K184" t="str">
        <f t="shared" si="9"/>
        <v>High Value</v>
      </c>
      <c r="L184" t="str">
        <f t="shared" si="10"/>
        <v>Suspicious</v>
      </c>
    </row>
    <row r="185" spans="1:12" x14ac:dyDescent="0.25">
      <c r="A185" t="s">
        <v>273</v>
      </c>
      <c r="B185" t="s">
        <v>123</v>
      </c>
      <c r="C185" s="1">
        <v>45342</v>
      </c>
      <c r="D185">
        <v>36276</v>
      </c>
      <c r="E185" t="s">
        <v>41</v>
      </c>
      <c r="F185" t="s">
        <v>42</v>
      </c>
      <c r="G185" t="s">
        <v>18</v>
      </c>
      <c r="H185" t="s">
        <v>13</v>
      </c>
      <c r="I185" t="str">
        <f t="shared" si="11"/>
        <v>Tuesday</v>
      </c>
      <c r="J185" t="str">
        <f t="shared" si="8"/>
        <v>Weekday</v>
      </c>
      <c r="K185" t="str">
        <f t="shared" si="9"/>
        <v>Normal</v>
      </c>
      <c r="L185" t="str">
        <f t="shared" si="10"/>
        <v>Normal</v>
      </c>
    </row>
    <row r="186" spans="1:12" x14ac:dyDescent="0.25">
      <c r="A186" t="s">
        <v>274</v>
      </c>
      <c r="B186" t="s">
        <v>15</v>
      </c>
      <c r="C186" s="1">
        <v>45355</v>
      </c>
      <c r="D186">
        <v>109461</v>
      </c>
      <c r="E186" t="s">
        <v>21</v>
      </c>
      <c r="F186" t="s">
        <v>46</v>
      </c>
      <c r="G186" t="s">
        <v>12</v>
      </c>
      <c r="H186" t="s">
        <v>26</v>
      </c>
      <c r="I186" t="str">
        <f t="shared" si="11"/>
        <v>Monday</v>
      </c>
      <c r="J186" t="str">
        <f t="shared" si="8"/>
        <v>Weekday</v>
      </c>
      <c r="K186" t="str">
        <f t="shared" si="9"/>
        <v>High Value</v>
      </c>
      <c r="L186" t="str">
        <f t="shared" si="10"/>
        <v>Suspicious</v>
      </c>
    </row>
    <row r="187" spans="1:12" x14ac:dyDescent="0.25">
      <c r="A187" t="s">
        <v>275</v>
      </c>
      <c r="B187" t="s">
        <v>56</v>
      </c>
      <c r="C187" s="1">
        <v>45316</v>
      </c>
      <c r="D187">
        <v>81681</v>
      </c>
      <c r="E187" t="s">
        <v>16</v>
      </c>
      <c r="F187" t="s">
        <v>52</v>
      </c>
      <c r="G187" t="s">
        <v>25</v>
      </c>
      <c r="H187" t="s">
        <v>13</v>
      </c>
      <c r="I187" t="str">
        <f t="shared" si="11"/>
        <v>Thursday</v>
      </c>
      <c r="J187" t="str">
        <f t="shared" si="8"/>
        <v>Weekday</v>
      </c>
      <c r="K187" t="str">
        <f t="shared" si="9"/>
        <v>High Value</v>
      </c>
      <c r="L187" t="str">
        <f t="shared" si="10"/>
        <v>Suspicious</v>
      </c>
    </row>
    <row r="188" spans="1:12" x14ac:dyDescent="0.25">
      <c r="A188" t="s">
        <v>276</v>
      </c>
      <c r="B188" t="s">
        <v>36</v>
      </c>
      <c r="C188" s="1">
        <v>45407</v>
      </c>
      <c r="D188">
        <v>82542</v>
      </c>
      <c r="E188" t="s">
        <v>10</v>
      </c>
      <c r="F188" t="s">
        <v>68</v>
      </c>
      <c r="G188" t="s">
        <v>34</v>
      </c>
      <c r="H188" t="s">
        <v>26</v>
      </c>
      <c r="I188" t="str">
        <f t="shared" si="11"/>
        <v>Thursday</v>
      </c>
      <c r="J188" t="str">
        <f t="shared" si="8"/>
        <v>Weekday</v>
      </c>
      <c r="K188" t="str">
        <f t="shared" si="9"/>
        <v>High Value</v>
      </c>
      <c r="L188" t="str">
        <f t="shared" si="10"/>
        <v>Suspicious</v>
      </c>
    </row>
    <row r="189" spans="1:12" x14ac:dyDescent="0.25">
      <c r="A189" t="s">
        <v>277</v>
      </c>
      <c r="B189" t="s">
        <v>138</v>
      </c>
      <c r="C189" s="1">
        <v>45366</v>
      </c>
      <c r="D189">
        <v>48123</v>
      </c>
      <c r="E189" t="s">
        <v>37</v>
      </c>
      <c r="F189" t="s">
        <v>58</v>
      </c>
      <c r="G189" t="s">
        <v>34</v>
      </c>
      <c r="H189" t="s">
        <v>26</v>
      </c>
      <c r="I189" t="str">
        <f t="shared" si="11"/>
        <v>Friday</v>
      </c>
      <c r="J189" t="str">
        <f t="shared" si="8"/>
        <v>Weekday</v>
      </c>
      <c r="K189" t="str">
        <f t="shared" si="9"/>
        <v>Normal</v>
      </c>
      <c r="L189" t="str">
        <f t="shared" si="10"/>
        <v>Normal</v>
      </c>
    </row>
    <row r="190" spans="1:12" x14ac:dyDescent="0.25">
      <c r="A190" t="s">
        <v>278</v>
      </c>
      <c r="B190" t="s">
        <v>15</v>
      </c>
      <c r="C190" s="1">
        <v>45345</v>
      </c>
      <c r="D190">
        <v>23321</v>
      </c>
      <c r="E190" t="s">
        <v>32</v>
      </c>
      <c r="F190" t="s">
        <v>139</v>
      </c>
      <c r="G190" t="s">
        <v>12</v>
      </c>
      <c r="H190" t="s">
        <v>26</v>
      </c>
      <c r="I190" t="str">
        <f t="shared" si="11"/>
        <v>Friday</v>
      </c>
      <c r="J190" t="str">
        <f t="shared" si="8"/>
        <v>Weekday</v>
      </c>
      <c r="K190" t="str">
        <f t="shared" si="9"/>
        <v>Normal</v>
      </c>
      <c r="L190" t="str">
        <f t="shared" si="10"/>
        <v>Normal</v>
      </c>
    </row>
    <row r="191" spans="1:12" x14ac:dyDescent="0.25">
      <c r="A191" t="s">
        <v>279</v>
      </c>
      <c r="B191" t="s">
        <v>82</v>
      </c>
      <c r="C191" s="1">
        <v>45408</v>
      </c>
      <c r="D191">
        <v>36020</v>
      </c>
      <c r="E191" t="s">
        <v>21</v>
      </c>
      <c r="F191" t="s">
        <v>22</v>
      </c>
      <c r="G191" t="s">
        <v>50</v>
      </c>
      <c r="H191" t="s">
        <v>26</v>
      </c>
      <c r="I191" t="str">
        <f t="shared" si="11"/>
        <v>Friday</v>
      </c>
      <c r="J191" t="str">
        <f t="shared" si="8"/>
        <v>Weekday</v>
      </c>
      <c r="K191" t="str">
        <f t="shared" si="9"/>
        <v>Normal</v>
      </c>
      <c r="L191" t="str">
        <f t="shared" si="10"/>
        <v>Normal</v>
      </c>
    </row>
    <row r="192" spans="1:12" x14ac:dyDescent="0.25">
      <c r="A192" t="s">
        <v>280</v>
      </c>
      <c r="B192" t="s">
        <v>15</v>
      </c>
      <c r="C192" s="1">
        <v>45403</v>
      </c>
      <c r="D192">
        <v>44696</v>
      </c>
      <c r="E192" t="s">
        <v>32</v>
      </c>
      <c r="F192" t="s">
        <v>79</v>
      </c>
      <c r="G192" t="s">
        <v>43</v>
      </c>
      <c r="H192" t="s">
        <v>13</v>
      </c>
      <c r="I192" t="str">
        <f t="shared" si="11"/>
        <v>Sunday</v>
      </c>
      <c r="J192" t="str">
        <f t="shared" si="8"/>
        <v>Weekend</v>
      </c>
      <c r="K192" t="str">
        <f t="shared" si="9"/>
        <v>Normal</v>
      </c>
      <c r="L192" t="str">
        <f t="shared" si="10"/>
        <v>Normal</v>
      </c>
    </row>
    <row r="193" spans="1:12" x14ac:dyDescent="0.25">
      <c r="A193" t="s">
        <v>281</v>
      </c>
      <c r="B193" t="s">
        <v>72</v>
      </c>
      <c r="C193" s="1">
        <v>45320</v>
      </c>
      <c r="D193">
        <v>113040</v>
      </c>
      <c r="E193" t="s">
        <v>16</v>
      </c>
      <c r="F193" t="s">
        <v>17</v>
      </c>
      <c r="G193" t="s">
        <v>25</v>
      </c>
      <c r="H193" t="s">
        <v>26</v>
      </c>
      <c r="I193" t="str">
        <f t="shared" si="11"/>
        <v>Monday</v>
      </c>
      <c r="J193" t="str">
        <f t="shared" si="8"/>
        <v>Weekday</v>
      </c>
      <c r="K193" t="str">
        <f t="shared" si="9"/>
        <v>High Value</v>
      </c>
      <c r="L193" t="str">
        <f t="shared" si="10"/>
        <v>Suspicious</v>
      </c>
    </row>
    <row r="194" spans="1:12" x14ac:dyDescent="0.25">
      <c r="A194" t="s">
        <v>282</v>
      </c>
      <c r="B194" t="s">
        <v>54</v>
      </c>
      <c r="C194" s="1">
        <v>45303</v>
      </c>
      <c r="D194">
        <v>103936</v>
      </c>
      <c r="E194" t="s">
        <v>21</v>
      </c>
      <c r="F194" t="s">
        <v>46</v>
      </c>
      <c r="G194" t="s">
        <v>34</v>
      </c>
      <c r="H194" t="s">
        <v>26</v>
      </c>
      <c r="I194" t="str">
        <f t="shared" si="11"/>
        <v>Friday</v>
      </c>
      <c r="J194" t="str">
        <f t="shared" si="8"/>
        <v>Weekday</v>
      </c>
      <c r="K194" t="str">
        <f t="shared" si="9"/>
        <v>High Value</v>
      </c>
      <c r="L194" t="str">
        <f t="shared" si="10"/>
        <v>Suspicious</v>
      </c>
    </row>
    <row r="195" spans="1:12" x14ac:dyDescent="0.25">
      <c r="A195" t="s">
        <v>283</v>
      </c>
      <c r="B195" t="s">
        <v>9</v>
      </c>
      <c r="C195" s="1">
        <v>45350</v>
      </c>
      <c r="D195">
        <v>48611</v>
      </c>
      <c r="E195" t="s">
        <v>21</v>
      </c>
      <c r="F195" t="s">
        <v>46</v>
      </c>
      <c r="G195" t="s">
        <v>18</v>
      </c>
      <c r="H195" t="s">
        <v>26</v>
      </c>
      <c r="I195" t="str">
        <f t="shared" si="11"/>
        <v>Wednesday</v>
      </c>
      <c r="J195" t="str">
        <f t="shared" ref="J195:J258" si="12">IF(OR(I195="Saturday",I195="Sunday"),"Weekend","Weekday")</f>
        <v>Weekday</v>
      </c>
      <c r="K195" t="str">
        <f t="shared" ref="K195:K258" si="13">IF(D195&gt;50000,"High Value","Normal")</f>
        <v>Normal</v>
      </c>
      <c r="L195" t="str">
        <f t="shared" ref="L195:L258" si="14">IF(D195&gt;75000,"Suspicious","Normal")</f>
        <v>Normal</v>
      </c>
    </row>
    <row r="196" spans="1:12" x14ac:dyDescent="0.25">
      <c r="A196" t="s">
        <v>284</v>
      </c>
      <c r="B196" t="s">
        <v>54</v>
      </c>
      <c r="C196" s="1">
        <v>45305</v>
      </c>
      <c r="D196">
        <v>88752</v>
      </c>
      <c r="E196" t="s">
        <v>10</v>
      </c>
      <c r="F196" t="s">
        <v>49</v>
      </c>
      <c r="G196" t="s">
        <v>43</v>
      </c>
      <c r="H196" t="s">
        <v>13</v>
      </c>
      <c r="I196" t="str">
        <f t="shared" si="11"/>
        <v>Sunday</v>
      </c>
      <c r="J196" t="str">
        <f t="shared" si="12"/>
        <v>Weekend</v>
      </c>
      <c r="K196" t="str">
        <f t="shared" si="13"/>
        <v>High Value</v>
      </c>
      <c r="L196" t="str">
        <f t="shared" si="14"/>
        <v>Suspicious</v>
      </c>
    </row>
    <row r="197" spans="1:12" x14ac:dyDescent="0.25">
      <c r="A197" t="s">
        <v>285</v>
      </c>
      <c r="B197" t="s">
        <v>67</v>
      </c>
      <c r="C197" s="1">
        <v>45333</v>
      </c>
      <c r="D197">
        <v>80264</v>
      </c>
      <c r="E197" t="s">
        <v>21</v>
      </c>
      <c r="F197" t="s">
        <v>22</v>
      </c>
      <c r="G197" t="s">
        <v>25</v>
      </c>
      <c r="H197" t="s">
        <v>13</v>
      </c>
      <c r="I197" t="str">
        <f t="shared" ref="I197:I260" si="15">TEXT(C197,"dddd")</f>
        <v>Sunday</v>
      </c>
      <c r="J197" t="str">
        <f t="shared" si="12"/>
        <v>Weekend</v>
      </c>
      <c r="K197" t="str">
        <f t="shared" si="13"/>
        <v>High Value</v>
      </c>
      <c r="L197" t="str">
        <f t="shared" si="14"/>
        <v>Suspicious</v>
      </c>
    </row>
    <row r="198" spans="1:12" x14ac:dyDescent="0.25">
      <c r="A198" t="s">
        <v>286</v>
      </c>
      <c r="B198" t="s">
        <v>105</v>
      </c>
      <c r="C198" s="1">
        <v>45408</v>
      </c>
      <c r="D198">
        <v>92191</v>
      </c>
      <c r="E198" t="s">
        <v>10</v>
      </c>
      <c r="F198" t="s">
        <v>11</v>
      </c>
      <c r="G198" t="s">
        <v>25</v>
      </c>
      <c r="H198" t="s">
        <v>26</v>
      </c>
      <c r="I198" t="str">
        <f t="shared" si="15"/>
        <v>Friday</v>
      </c>
      <c r="J198" t="str">
        <f t="shared" si="12"/>
        <v>Weekday</v>
      </c>
      <c r="K198" t="str">
        <f t="shared" si="13"/>
        <v>High Value</v>
      </c>
      <c r="L198" t="str">
        <f t="shared" si="14"/>
        <v>Suspicious</v>
      </c>
    </row>
    <row r="199" spans="1:12" x14ac:dyDescent="0.25">
      <c r="A199" t="s">
        <v>287</v>
      </c>
      <c r="B199" t="s">
        <v>256</v>
      </c>
      <c r="C199" s="1">
        <v>45297</v>
      </c>
      <c r="D199">
        <v>5177</v>
      </c>
      <c r="E199" t="s">
        <v>41</v>
      </c>
      <c r="F199" t="s">
        <v>61</v>
      </c>
      <c r="G199" t="s">
        <v>43</v>
      </c>
      <c r="H199" t="s">
        <v>13</v>
      </c>
      <c r="I199" t="str">
        <f t="shared" si="15"/>
        <v>Saturday</v>
      </c>
      <c r="J199" t="str">
        <f t="shared" si="12"/>
        <v>Weekend</v>
      </c>
      <c r="K199" t="str">
        <f t="shared" si="13"/>
        <v>Normal</v>
      </c>
      <c r="L199" t="str">
        <f t="shared" si="14"/>
        <v>Normal</v>
      </c>
    </row>
    <row r="200" spans="1:12" x14ac:dyDescent="0.25">
      <c r="A200" t="s">
        <v>288</v>
      </c>
      <c r="B200" t="s">
        <v>109</v>
      </c>
      <c r="C200" s="1">
        <v>45405</v>
      </c>
      <c r="D200">
        <v>70757</v>
      </c>
      <c r="E200" t="s">
        <v>41</v>
      </c>
      <c r="F200" t="s">
        <v>98</v>
      </c>
      <c r="G200" t="s">
        <v>43</v>
      </c>
      <c r="H200" t="s">
        <v>26</v>
      </c>
      <c r="I200" t="str">
        <f t="shared" si="15"/>
        <v>Tuesday</v>
      </c>
      <c r="J200" t="str">
        <f t="shared" si="12"/>
        <v>Weekday</v>
      </c>
      <c r="K200" t="str">
        <f t="shared" si="13"/>
        <v>High Value</v>
      </c>
      <c r="L200" t="str">
        <f t="shared" si="14"/>
        <v>Normal</v>
      </c>
    </row>
    <row r="201" spans="1:12" x14ac:dyDescent="0.25">
      <c r="A201" t="s">
        <v>289</v>
      </c>
      <c r="B201" t="s">
        <v>123</v>
      </c>
      <c r="C201" s="1">
        <v>45387</v>
      </c>
      <c r="D201">
        <v>91589</v>
      </c>
      <c r="E201" t="s">
        <v>32</v>
      </c>
      <c r="F201" t="s">
        <v>92</v>
      </c>
      <c r="G201" t="s">
        <v>18</v>
      </c>
      <c r="H201" t="s">
        <v>13</v>
      </c>
      <c r="I201" t="str">
        <f t="shared" si="15"/>
        <v>Friday</v>
      </c>
      <c r="J201" t="str">
        <f t="shared" si="12"/>
        <v>Weekday</v>
      </c>
      <c r="K201" t="str">
        <f t="shared" si="13"/>
        <v>High Value</v>
      </c>
      <c r="L201" t="str">
        <f t="shared" si="14"/>
        <v>Suspicious</v>
      </c>
    </row>
    <row r="202" spans="1:12" x14ac:dyDescent="0.25">
      <c r="A202" t="s">
        <v>290</v>
      </c>
      <c r="B202" t="s">
        <v>65</v>
      </c>
      <c r="C202" s="1">
        <v>45304</v>
      </c>
      <c r="D202">
        <v>109573</v>
      </c>
      <c r="E202" t="s">
        <v>37</v>
      </c>
      <c r="F202" t="s">
        <v>38</v>
      </c>
      <c r="G202" t="s">
        <v>18</v>
      </c>
      <c r="H202" t="s">
        <v>26</v>
      </c>
      <c r="I202" t="str">
        <f t="shared" si="15"/>
        <v>Saturday</v>
      </c>
      <c r="J202" t="str">
        <f t="shared" si="12"/>
        <v>Weekend</v>
      </c>
      <c r="K202" t="str">
        <f t="shared" si="13"/>
        <v>High Value</v>
      </c>
      <c r="L202" t="str">
        <f t="shared" si="14"/>
        <v>Suspicious</v>
      </c>
    </row>
    <row r="203" spans="1:12" x14ac:dyDescent="0.25">
      <c r="A203" t="s">
        <v>291</v>
      </c>
      <c r="B203" t="s">
        <v>138</v>
      </c>
      <c r="C203" s="1">
        <v>45380</v>
      </c>
      <c r="D203">
        <v>48866</v>
      </c>
      <c r="E203" t="s">
        <v>32</v>
      </c>
      <c r="F203" t="s">
        <v>139</v>
      </c>
      <c r="G203" t="s">
        <v>43</v>
      </c>
      <c r="H203" t="s">
        <v>26</v>
      </c>
      <c r="I203" t="str">
        <f t="shared" si="15"/>
        <v>Friday</v>
      </c>
      <c r="J203" t="str">
        <f t="shared" si="12"/>
        <v>Weekday</v>
      </c>
      <c r="K203" t="str">
        <f t="shared" si="13"/>
        <v>Normal</v>
      </c>
      <c r="L203" t="str">
        <f t="shared" si="14"/>
        <v>Normal</v>
      </c>
    </row>
    <row r="204" spans="1:12" x14ac:dyDescent="0.25">
      <c r="A204" t="s">
        <v>292</v>
      </c>
      <c r="B204" t="s">
        <v>54</v>
      </c>
      <c r="C204" s="1">
        <v>45304</v>
      </c>
      <c r="D204">
        <v>90173</v>
      </c>
      <c r="E204" t="s">
        <v>16</v>
      </c>
      <c r="F204" t="s">
        <v>52</v>
      </c>
      <c r="G204" t="s">
        <v>18</v>
      </c>
      <c r="H204" t="s">
        <v>26</v>
      </c>
      <c r="I204" t="str">
        <f t="shared" si="15"/>
        <v>Saturday</v>
      </c>
      <c r="J204" t="str">
        <f t="shared" si="12"/>
        <v>Weekend</v>
      </c>
      <c r="K204" t="str">
        <f t="shared" si="13"/>
        <v>High Value</v>
      </c>
      <c r="L204" t="str">
        <f t="shared" si="14"/>
        <v>Suspicious</v>
      </c>
    </row>
    <row r="205" spans="1:12" x14ac:dyDescent="0.25">
      <c r="A205" t="s">
        <v>293</v>
      </c>
      <c r="B205" t="s">
        <v>70</v>
      </c>
      <c r="C205" s="1">
        <v>45327</v>
      </c>
      <c r="D205">
        <v>25178</v>
      </c>
      <c r="E205" t="s">
        <v>41</v>
      </c>
      <c r="F205" t="s">
        <v>42</v>
      </c>
      <c r="G205" t="s">
        <v>43</v>
      </c>
      <c r="H205" t="s">
        <v>13</v>
      </c>
      <c r="I205" t="str">
        <f t="shared" si="15"/>
        <v>Monday</v>
      </c>
      <c r="J205" t="str">
        <f t="shared" si="12"/>
        <v>Weekday</v>
      </c>
      <c r="K205" t="str">
        <f t="shared" si="13"/>
        <v>Normal</v>
      </c>
      <c r="L205" t="str">
        <f t="shared" si="14"/>
        <v>Normal</v>
      </c>
    </row>
    <row r="206" spans="1:12" x14ac:dyDescent="0.25">
      <c r="A206" t="s">
        <v>294</v>
      </c>
      <c r="B206" t="s">
        <v>63</v>
      </c>
      <c r="C206" s="1">
        <v>45374</v>
      </c>
      <c r="D206">
        <v>84119</v>
      </c>
      <c r="E206" t="s">
        <v>10</v>
      </c>
      <c r="F206" t="s">
        <v>68</v>
      </c>
      <c r="G206" t="s">
        <v>34</v>
      </c>
      <c r="H206" t="s">
        <v>13</v>
      </c>
      <c r="I206" t="str">
        <f t="shared" si="15"/>
        <v>Saturday</v>
      </c>
      <c r="J206" t="str">
        <f t="shared" si="12"/>
        <v>Weekend</v>
      </c>
      <c r="K206" t="str">
        <f t="shared" si="13"/>
        <v>High Value</v>
      </c>
      <c r="L206" t="str">
        <f t="shared" si="14"/>
        <v>Suspicious</v>
      </c>
    </row>
    <row r="207" spans="1:12" x14ac:dyDescent="0.25">
      <c r="A207" t="s">
        <v>295</v>
      </c>
      <c r="B207" t="s">
        <v>109</v>
      </c>
      <c r="C207" s="1">
        <v>45308</v>
      </c>
      <c r="D207">
        <v>103450</v>
      </c>
      <c r="E207" t="s">
        <v>32</v>
      </c>
      <c r="F207" t="s">
        <v>139</v>
      </c>
      <c r="G207" t="s">
        <v>34</v>
      </c>
      <c r="H207" t="s">
        <v>13</v>
      </c>
      <c r="I207" t="str">
        <f t="shared" si="15"/>
        <v>Wednesday</v>
      </c>
      <c r="J207" t="str">
        <f t="shared" si="12"/>
        <v>Weekday</v>
      </c>
      <c r="K207" t="str">
        <f t="shared" si="13"/>
        <v>High Value</v>
      </c>
      <c r="L207" t="str">
        <f t="shared" si="14"/>
        <v>Suspicious</v>
      </c>
    </row>
    <row r="208" spans="1:12" x14ac:dyDescent="0.25">
      <c r="A208" t="s">
        <v>296</v>
      </c>
      <c r="B208" t="s">
        <v>63</v>
      </c>
      <c r="C208" s="1">
        <v>45396</v>
      </c>
      <c r="D208">
        <v>114292</v>
      </c>
      <c r="E208" t="s">
        <v>21</v>
      </c>
      <c r="F208" t="s">
        <v>22</v>
      </c>
      <c r="G208" t="s">
        <v>50</v>
      </c>
      <c r="H208" t="s">
        <v>13</v>
      </c>
      <c r="I208" t="str">
        <f t="shared" si="15"/>
        <v>Sunday</v>
      </c>
      <c r="J208" t="str">
        <f t="shared" si="12"/>
        <v>Weekend</v>
      </c>
      <c r="K208" t="str">
        <f t="shared" si="13"/>
        <v>High Value</v>
      </c>
      <c r="L208" t="str">
        <f t="shared" si="14"/>
        <v>Suspicious</v>
      </c>
    </row>
    <row r="209" spans="1:12" x14ac:dyDescent="0.25">
      <c r="A209" t="s">
        <v>297</v>
      </c>
      <c r="B209" t="s">
        <v>224</v>
      </c>
      <c r="C209" s="1">
        <v>45327</v>
      </c>
      <c r="D209">
        <v>112813</v>
      </c>
      <c r="E209" t="s">
        <v>21</v>
      </c>
      <c r="F209" t="s">
        <v>22</v>
      </c>
      <c r="G209" t="s">
        <v>12</v>
      </c>
      <c r="H209" t="s">
        <v>26</v>
      </c>
      <c r="I209" t="str">
        <f t="shared" si="15"/>
        <v>Monday</v>
      </c>
      <c r="J209" t="str">
        <f t="shared" si="12"/>
        <v>Weekday</v>
      </c>
      <c r="K209" t="str">
        <f t="shared" si="13"/>
        <v>High Value</v>
      </c>
      <c r="L209" t="str">
        <f t="shared" si="14"/>
        <v>Suspicious</v>
      </c>
    </row>
    <row r="210" spans="1:12" x14ac:dyDescent="0.25">
      <c r="A210" t="s">
        <v>298</v>
      </c>
      <c r="B210" t="s">
        <v>9</v>
      </c>
      <c r="C210" s="1">
        <v>45376</v>
      </c>
      <c r="D210">
        <v>113867</v>
      </c>
      <c r="E210" t="s">
        <v>16</v>
      </c>
      <c r="F210" t="s">
        <v>29</v>
      </c>
      <c r="G210" t="s">
        <v>12</v>
      </c>
      <c r="H210" t="s">
        <v>13</v>
      </c>
      <c r="I210" t="str">
        <f t="shared" si="15"/>
        <v>Monday</v>
      </c>
      <c r="J210" t="str">
        <f t="shared" si="12"/>
        <v>Weekday</v>
      </c>
      <c r="K210" t="str">
        <f t="shared" si="13"/>
        <v>High Value</v>
      </c>
      <c r="L210" t="str">
        <f t="shared" si="14"/>
        <v>Suspicious</v>
      </c>
    </row>
    <row r="211" spans="1:12" x14ac:dyDescent="0.25">
      <c r="A211" t="s">
        <v>299</v>
      </c>
      <c r="B211" t="s">
        <v>109</v>
      </c>
      <c r="C211" s="1">
        <v>45367</v>
      </c>
      <c r="D211">
        <v>42737</v>
      </c>
      <c r="E211" t="s">
        <v>32</v>
      </c>
      <c r="F211" t="s">
        <v>79</v>
      </c>
      <c r="G211" t="s">
        <v>12</v>
      </c>
      <c r="H211" t="s">
        <v>26</v>
      </c>
      <c r="I211" t="str">
        <f t="shared" si="15"/>
        <v>Saturday</v>
      </c>
      <c r="J211" t="str">
        <f t="shared" si="12"/>
        <v>Weekend</v>
      </c>
      <c r="K211" t="str">
        <f t="shared" si="13"/>
        <v>Normal</v>
      </c>
      <c r="L211" t="str">
        <f t="shared" si="14"/>
        <v>Normal</v>
      </c>
    </row>
    <row r="212" spans="1:12" x14ac:dyDescent="0.25">
      <c r="A212" t="s">
        <v>300</v>
      </c>
      <c r="B212" t="s">
        <v>256</v>
      </c>
      <c r="C212" s="1">
        <v>45386</v>
      </c>
      <c r="D212">
        <v>55476</v>
      </c>
      <c r="E212" t="s">
        <v>41</v>
      </c>
      <c r="F212" t="s">
        <v>42</v>
      </c>
      <c r="G212" t="s">
        <v>25</v>
      </c>
      <c r="H212" t="s">
        <v>13</v>
      </c>
      <c r="I212" t="str">
        <f t="shared" si="15"/>
        <v>Thursday</v>
      </c>
      <c r="J212" t="str">
        <f t="shared" si="12"/>
        <v>Weekday</v>
      </c>
      <c r="K212" t="str">
        <f t="shared" si="13"/>
        <v>High Value</v>
      </c>
      <c r="L212" t="str">
        <f t="shared" si="14"/>
        <v>Normal</v>
      </c>
    </row>
    <row r="213" spans="1:12" x14ac:dyDescent="0.25">
      <c r="A213" t="s">
        <v>301</v>
      </c>
      <c r="B213" t="s">
        <v>28</v>
      </c>
      <c r="C213" s="1">
        <v>45391</v>
      </c>
      <c r="D213">
        <v>47753</v>
      </c>
      <c r="E213" t="s">
        <v>37</v>
      </c>
      <c r="F213" t="s">
        <v>58</v>
      </c>
      <c r="G213" t="s">
        <v>43</v>
      </c>
      <c r="H213" t="s">
        <v>13</v>
      </c>
      <c r="I213" t="str">
        <f t="shared" si="15"/>
        <v>Tuesday</v>
      </c>
      <c r="J213" t="str">
        <f t="shared" si="12"/>
        <v>Weekday</v>
      </c>
      <c r="K213" t="str">
        <f t="shared" si="13"/>
        <v>Normal</v>
      </c>
      <c r="L213" t="str">
        <f t="shared" si="14"/>
        <v>Normal</v>
      </c>
    </row>
    <row r="214" spans="1:12" x14ac:dyDescent="0.25">
      <c r="A214" t="s">
        <v>302</v>
      </c>
      <c r="B214" t="s">
        <v>138</v>
      </c>
      <c r="C214" s="1">
        <v>45385</v>
      </c>
      <c r="D214">
        <v>102959</v>
      </c>
      <c r="E214" t="s">
        <v>21</v>
      </c>
      <c r="F214" t="s">
        <v>46</v>
      </c>
      <c r="G214" t="s">
        <v>43</v>
      </c>
      <c r="H214" t="s">
        <v>13</v>
      </c>
      <c r="I214" t="str">
        <f t="shared" si="15"/>
        <v>Wednesday</v>
      </c>
      <c r="J214" t="str">
        <f t="shared" si="12"/>
        <v>Weekday</v>
      </c>
      <c r="K214" t="str">
        <f t="shared" si="13"/>
        <v>High Value</v>
      </c>
      <c r="L214" t="str">
        <f t="shared" si="14"/>
        <v>Suspicious</v>
      </c>
    </row>
    <row r="215" spans="1:12" x14ac:dyDescent="0.25">
      <c r="A215" t="s">
        <v>303</v>
      </c>
      <c r="B215" t="s">
        <v>206</v>
      </c>
      <c r="C215" s="1">
        <v>45400</v>
      </c>
      <c r="D215">
        <v>52940</v>
      </c>
      <c r="E215" t="s">
        <v>41</v>
      </c>
      <c r="F215" t="s">
        <v>101</v>
      </c>
      <c r="G215" t="s">
        <v>25</v>
      </c>
      <c r="H215" t="s">
        <v>13</v>
      </c>
      <c r="I215" t="str">
        <f t="shared" si="15"/>
        <v>Thursday</v>
      </c>
      <c r="J215" t="str">
        <f t="shared" si="12"/>
        <v>Weekday</v>
      </c>
      <c r="K215" t="str">
        <f t="shared" si="13"/>
        <v>High Value</v>
      </c>
      <c r="L215" t="str">
        <f t="shared" si="14"/>
        <v>Normal</v>
      </c>
    </row>
    <row r="216" spans="1:12" x14ac:dyDescent="0.25">
      <c r="A216" t="s">
        <v>304</v>
      </c>
      <c r="B216" t="s">
        <v>125</v>
      </c>
      <c r="C216" s="1">
        <v>45408</v>
      </c>
      <c r="D216">
        <v>58438</v>
      </c>
      <c r="E216" t="s">
        <v>37</v>
      </c>
      <c r="F216" t="s">
        <v>58</v>
      </c>
      <c r="G216" t="s">
        <v>34</v>
      </c>
      <c r="H216" t="s">
        <v>26</v>
      </c>
      <c r="I216" t="str">
        <f t="shared" si="15"/>
        <v>Friday</v>
      </c>
      <c r="J216" t="str">
        <f t="shared" si="12"/>
        <v>Weekday</v>
      </c>
      <c r="K216" t="str">
        <f t="shared" si="13"/>
        <v>High Value</v>
      </c>
      <c r="L216" t="str">
        <f t="shared" si="14"/>
        <v>Normal</v>
      </c>
    </row>
    <row r="217" spans="1:12" x14ac:dyDescent="0.25">
      <c r="A217" t="s">
        <v>305</v>
      </c>
      <c r="B217" t="s">
        <v>245</v>
      </c>
      <c r="C217" s="1">
        <v>45300</v>
      </c>
      <c r="D217">
        <v>16840</v>
      </c>
      <c r="E217" t="s">
        <v>21</v>
      </c>
      <c r="F217" t="s">
        <v>46</v>
      </c>
      <c r="G217" t="s">
        <v>18</v>
      </c>
      <c r="H217" t="s">
        <v>26</v>
      </c>
      <c r="I217" t="str">
        <f t="shared" si="15"/>
        <v>Tuesday</v>
      </c>
      <c r="J217" t="str">
        <f t="shared" si="12"/>
        <v>Weekday</v>
      </c>
      <c r="K217" t="str">
        <f t="shared" si="13"/>
        <v>Normal</v>
      </c>
      <c r="L217" t="str">
        <f t="shared" si="14"/>
        <v>Normal</v>
      </c>
    </row>
    <row r="218" spans="1:12" x14ac:dyDescent="0.25">
      <c r="A218" t="s">
        <v>306</v>
      </c>
      <c r="B218" t="s">
        <v>24</v>
      </c>
      <c r="C218" s="1">
        <v>45359</v>
      </c>
      <c r="D218">
        <v>38952</v>
      </c>
      <c r="E218" t="s">
        <v>37</v>
      </c>
      <c r="F218" t="s">
        <v>38</v>
      </c>
      <c r="G218" t="s">
        <v>18</v>
      </c>
      <c r="H218" t="s">
        <v>26</v>
      </c>
      <c r="I218" t="str">
        <f t="shared" si="15"/>
        <v>Friday</v>
      </c>
      <c r="J218" t="str">
        <f t="shared" si="12"/>
        <v>Weekday</v>
      </c>
      <c r="K218" t="str">
        <f t="shared" si="13"/>
        <v>Normal</v>
      </c>
      <c r="L218" t="str">
        <f t="shared" si="14"/>
        <v>Normal</v>
      </c>
    </row>
    <row r="219" spans="1:12" x14ac:dyDescent="0.25">
      <c r="A219" t="s">
        <v>307</v>
      </c>
      <c r="B219" t="s">
        <v>116</v>
      </c>
      <c r="C219" s="1">
        <v>45306</v>
      </c>
      <c r="D219">
        <v>112077</v>
      </c>
      <c r="E219" t="s">
        <v>41</v>
      </c>
      <c r="F219" t="s">
        <v>98</v>
      </c>
      <c r="G219" t="s">
        <v>43</v>
      </c>
      <c r="H219" t="s">
        <v>26</v>
      </c>
      <c r="I219" t="str">
        <f t="shared" si="15"/>
        <v>Monday</v>
      </c>
      <c r="J219" t="str">
        <f t="shared" si="12"/>
        <v>Weekday</v>
      </c>
      <c r="K219" t="str">
        <f t="shared" si="13"/>
        <v>High Value</v>
      </c>
      <c r="L219" t="str">
        <f t="shared" si="14"/>
        <v>Suspicious</v>
      </c>
    </row>
    <row r="220" spans="1:12" x14ac:dyDescent="0.25">
      <c r="A220" t="s">
        <v>308</v>
      </c>
      <c r="B220" t="s">
        <v>112</v>
      </c>
      <c r="C220" s="1">
        <v>45335</v>
      </c>
      <c r="D220">
        <v>108751</v>
      </c>
      <c r="E220" t="s">
        <v>16</v>
      </c>
      <c r="F220" t="s">
        <v>52</v>
      </c>
      <c r="G220" t="s">
        <v>43</v>
      </c>
      <c r="H220" t="s">
        <v>26</v>
      </c>
      <c r="I220" t="str">
        <f t="shared" si="15"/>
        <v>Tuesday</v>
      </c>
      <c r="J220" t="str">
        <f t="shared" si="12"/>
        <v>Weekday</v>
      </c>
      <c r="K220" t="str">
        <f t="shared" si="13"/>
        <v>High Value</v>
      </c>
      <c r="L220" t="str">
        <f t="shared" si="14"/>
        <v>Suspicious</v>
      </c>
    </row>
    <row r="221" spans="1:12" x14ac:dyDescent="0.25">
      <c r="A221" t="s">
        <v>309</v>
      </c>
      <c r="B221" t="s">
        <v>36</v>
      </c>
      <c r="C221" s="1">
        <v>45332</v>
      </c>
      <c r="D221">
        <v>56236</v>
      </c>
      <c r="E221" t="s">
        <v>10</v>
      </c>
      <c r="F221" t="s">
        <v>11</v>
      </c>
      <c r="G221" t="s">
        <v>25</v>
      </c>
      <c r="H221" t="s">
        <v>26</v>
      </c>
      <c r="I221" t="str">
        <f t="shared" si="15"/>
        <v>Saturday</v>
      </c>
      <c r="J221" t="str">
        <f t="shared" si="12"/>
        <v>Weekend</v>
      </c>
      <c r="K221" t="str">
        <f t="shared" si="13"/>
        <v>High Value</v>
      </c>
      <c r="L221" t="str">
        <f t="shared" si="14"/>
        <v>Normal</v>
      </c>
    </row>
    <row r="222" spans="1:12" x14ac:dyDescent="0.25">
      <c r="A222" t="s">
        <v>310</v>
      </c>
      <c r="B222" t="s">
        <v>245</v>
      </c>
      <c r="C222" s="1">
        <v>45379</v>
      </c>
      <c r="D222">
        <v>62463</v>
      </c>
      <c r="E222" t="s">
        <v>32</v>
      </c>
      <c r="F222" t="s">
        <v>79</v>
      </c>
      <c r="G222" t="s">
        <v>34</v>
      </c>
      <c r="H222" t="s">
        <v>13</v>
      </c>
      <c r="I222" t="str">
        <f t="shared" si="15"/>
        <v>Thursday</v>
      </c>
      <c r="J222" t="str">
        <f t="shared" si="12"/>
        <v>Weekday</v>
      </c>
      <c r="K222" t="str">
        <f t="shared" si="13"/>
        <v>High Value</v>
      </c>
      <c r="L222" t="str">
        <f t="shared" si="14"/>
        <v>Normal</v>
      </c>
    </row>
    <row r="223" spans="1:12" x14ac:dyDescent="0.25">
      <c r="A223" t="s">
        <v>311</v>
      </c>
      <c r="B223" t="s">
        <v>20</v>
      </c>
      <c r="C223" s="1">
        <v>45304</v>
      </c>
      <c r="D223">
        <v>97894</v>
      </c>
      <c r="E223" t="s">
        <v>41</v>
      </c>
      <c r="F223" t="s">
        <v>61</v>
      </c>
      <c r="G223" t="s">
        <v>12</v>
      </c>
      <c r="H223" t="s">
        <v>13</v>
      </c>
      <c r="I223" t="str">
        <f t="shared" si="15"/>
        <v>Saturday</v>
      </c>
      <c r="J223" t="str">
        <f t="shared" si="12"/>
        <v>Weekend</v>
      </c>
      <c r="K223" t="str">
        <f t="shared" si="13"/>
        <v>High Value</v>
      </c>
      <c r="L223" t="str">
        <f t="shared" si="14"/>
        <v>Suspicious</v>
      </c>
    </row>
    <row r="224" spans="1:12" x14ac:dyDescent="0.25">
      <c r="A224" t="s">
        <v>312</v>
      </c>
      <c r="B224" t="s">
        <v>67</v>
      </c>
      <c r="C224" s="1">
        <v>45363</v>
      </c>
      <c r="D224">
        <v>43507</v>
      </c>
      <c r="E224" t="s">
        <v>21</v>
      </c>
      <c r="F224" t="s">
        <v>22</v>
      </c>
      <c r="G224" t="s">
        <v>43</v>
      </c>
      <c r="H224" t="s">
        <v>26</v>
      </c>
      <c r="I224" t="str">
        <f t="shared" si="15"/>
        <v>Tuesday</v>
      </c>
      <c r="J224" t="str">
        <f t="shared" si="12"/>
        <v>Weekday</v>
      </c>
      <c r="K224" t="str">
        <f t="shared" si="13"/>
        <v>Normal</v>
      </c>
      <c r="L224" t="str">
        <f t="shared" si="14"/>
        <v>Normal</v>
      </c>
    </row>
    <row r="225" spans="1:12" x14ac:dyDescent="0.25">
      <c r="A225" t="s">
        <v>313</v>
      </c>
      <c r="B225" t="s">
        <v>72</v>
      </c>
      <c r="C225" s="1">
        <v>45346</v>
      </c>
      <c r="D225">
        <v>114082</v>
      </c>
      <c r="E225" t="s">
        <v>10</v>
      </c>
      <c r="F225" t="s">
        <v>68</v>
      </c>
      <c r="G225" t="s">
        <v>34</v>
      </c>
      <c r="H225" t="s">
        <v>26</v>
      </c>
      <c r="I225" t="str">
        <f t="shared" si="15"/>
        <v>Saturday</v>
      </c>
      <c r="J225" t="str">
        <f t="shared" si="12"/>
        <v>Weekend</v>
      </c>
      <c r="K225" t="str">
        <f t="shared" si="13"/>
        <v>High Value</v>
      </c>
      <c r="L225" t="str">
        <f t="shared" si="14"/>
        <v>Suspicious</v>
      </c>
    </row>
    <row r="226" spans="1:12" x14ac:dyDescent="0.25">
      <c r="A226" t="s">
        <v>314</v>
      </c>
      <c r="B226" t="s">
        <v>94</v>
      </c>
      <c r="C226" s="1">
        <v>45337</v>
      </c>
      <c r="D226">
        <v>13879</v>
      </c>
      <c r="E226" t="s">
        <v>21</v>
      </c>
      <c r="F226" t="s">
        <v>22</v>
      </c>
      <c r="G226" t="s">
        <v>12</v>
      </c>
      <c r="H226" t="s">
        <v>26</v>
      </c>
      <c r="I226" t="str">
        <f t="shared" si="15"/>
        <v>Thursday</v>
      </c>
      <c r="J226" t="str">
        <f t="shared" si="12"/>
        <v>Weekday</v>
      </c>
      <c r="K226" t="str">
        <f t="shared" si="13"/>
        <v>Normal</v>
      </c>
      <c r="L226" t="str">
        <f t="shared" si="14"/>
        <v>Normal</v>
      </c>
    </row>
    <row r="227" spans="1:12" x14ac:dyDescent="0.25">
      <c r="A227" t="s">
        <v>315</v>
      </c>
      <c r="B227" t="s">
        <v>36</v>
      </c>
      <c r="C227" s="1">
        <v>45336</v>
      </c>
      <c r="D227">
        <v>111104</v>
      </c>
      <c r="E227" t="s">
        <v>16</v>
      </c>
      <c r="F227" t="s">
        <v>17</v>
      </c>
      <c r="G227" t="s">
        <v>50</v>
      </c>
      <c r="H227" t="s">
        <v>13</v>
      </c>
      <c r="I227" t="str">
        <f t="shared" si="15"/>
        <v>Wednesday</v>
      </c>
      <c r="J227" t="str">
        <f t="shared" si="12"/>
        <v>Weekday</v>
      </c>
      <c r="K227" t="str">
        <f t="shared" si="13"/>
        <v>High Value</v>
      </c>
      <c r="L227" t="str">
        <f t="shared" si="14"/>
        <v>Suspicious</v>
      </c>
    </row>
    <row r="228" spans="1:12" x14ac:dyDescent="0.25">
      <c r="A228" t="s">
        <v>316</v>
      </c>
      <c r="B228" t="s">
        <v>88</v>
      </c>
      <c r="C228" s="1">
        <v>45320</v>
      </c>
      <c r="D228">
        <v>106104</v>
      </c>
      <c r="E228" t="s">
        <v>32</v>
      </c>
      <c r="F228" t="s">
        <v>92</v>
      </c>
      <c r="G228" t="s">
        <v>18</v>
      </c>
      <c r="H228" t="s">
        <v>13</v>
      </c>
      <c r="I228" t="str">
        <f t="shared" si="15"/>
        <v>Monday</v>
      </c>
      <c r="J228" t="str">
        <f t="shared" si="12"/>
        <v>Weekday</v>
      </c>
      <c r="K228" t="str">
        <f t="shared" si="13"/>
        <v>High Value</v>
      </c>
      <c r="L228" t="str">
        <f t="shared" si="14"/>
        <v>Suspicious</v>
      </c>
    </row>
    <row r="229" spans="1:12" x14ac:dyDescent="0.25">
      <c r="A229" t="s">
        <v>317</v>
      </c>
      <c r="B229" t="s">
        <v>123</v>
      </c>
      <c r="C229" s="1">
        <v>45398</v>
      </c>
      <c r="D229">
        <v>91194</v>
      </c>
      <c r="E229" t="s">
        <v>21</v>
      </c>
      <c r="F229" t="s">
        <v>46</v>
      </c>
      <c r="G229" t="s">
        <v>34</v>
      </c>
      <c r="H229" t="s">
        <v>13</v>
      </c>
      <c r="I229" t="str">
        <f t="shared" si="15"/>
        <v>Tuesday</v>
      </c>
      <c r="J229" t="str">
        <f t="shared" si="12"/>
        <v>Weekday</v>
      </c>
      <c r="K229" t="str">
        <f t="shared" si="13"/>
        <v>High Value</v>
      </c>
      <c r="L229" t="str">
        <f t="shared" si="14"/>
        <v>Suspicious</v>
      </c>
    </row>
    <row r="230" spans="1:12" x14ac:dyDescent="0.25">
      <c r="A230" t="s">
        <v>318</v>
      </c>
      <c r="B230" t="s">
        <v>116</v>
      </c>
      <c r="C230" s="1">
        <v>45389</v>
      </c>
      <c r="D230">
        <v>40799</v>
      </c>
      <c r="E230" t="s">
        <v>32</v>
      </c>
      <c r="F230" t="s">
        <v>33</v>
      </c>
      <c r="G230" t="s">
        <v>50</v>
      </c>
      <c r="H230" t="s">
        <v>13</v>
      </c>
      <c r="I230" t="str">
        <f t="shared" si="15"/>
        <v>Sunday</v>
      </c>
      <c r="J230" t="str">
        <f t="shared" si="12"/>
        <v>Weekend</v>
      </c>
      <c r="K230" t="str">
        <f t="shared" si="13"/>
        <v>Normal</v>
      </c>
      <c r="L230" t="str">
        <f t="shared" si="14"/>
        <v>Normal</v>
      </c>
    </row>
    <row r="231" spans="1:12" x14ac:dyDescent="0.25">
      <c r="A231" t="s">
        <v>319</v>
      </c>
      <c r="B231" t="s">
        <v>245</v>
      </c>
      <c r="C231" s="1">
        <v>45364</v>
      </c>
      <c r="D231">
        <v>86459</v>
      </c>
      <c r="E231" t="s">
        <v>16</v>
      </c>
      <c r="F231" t="s">
        <v>52</v>
      </c>
      <c r="G231" t="s">
        <v>34</v>
      </c>
      <c r="H231" t="s">
        <v>13</v>
      </c>
      <c r="I231" t="str">
        <f t="shared" si="15"/>
        <v>Wednesday</v>
      </c>
      <c r="J231" t="str">
        <f t="shared" si="12"/>
        <v>Weekday</v>
      </c>
      <c r="K231" t="str">
        <f t="shared" si="13"/>
        <v>High Value</v>
      </c>
      <c r="L231" t="str">
        <f t="shared" si="14"/>
        <v>Suspicious</v>
      </c>
    </row>
    <row r="232" spans="1:12" x14ac:dyDescent="0.25">
      <c r="A232" t="s">
        <v>320</v>
      </c>
      <c r="B232" t="s">
        <v>56</v>
      </c>
      <c r="C232" s="1">
        <v>45295</v>
      </c>
      <c r="D232">
        <v>12326</v>
      </c>
      <c r="E232" t="s">
        <v>10</v>
      </c>
      <c r="F232" t="s">
        <v>68</v>
      </c>
      <c r="G232" t="s">
        <v>18</v>
      </c>
      <c r="H232" t="s">
        <v>13</v>
      </c>
      <c r="I232" t="str">
        <f t="shared" si="15"/>
        <v>Thursday</v>
      </c>
      <c r="J232" t="str">
        <f t="shared" si="12"/>
        <v>Weekday</v>
      </c>
      <c r="K232" t="str">
        <f t="shared" si="13"/>
        <v>Normal</v>
      </c>
      <c r="L232" t="str">
        <f t="shared" si="14"/>
        <v>Normal</v>
      </c>
    </row>
    <row r="233" spans="1:12" x14ac:dyDescent="0.25">
      <c r="A233" t="s">
        <v>321</v>
      </c>
      <c r="B233" t="s">
        <v>112</v>
      </c>
      <c r="C233" s="1">
        <v>45350</v>
      </c>
      <c r="D233">
        <v>44981</v>
      </c>
      <c r="E233" t="s">
        <v>37</v>
      </c>
      <c r="F233" t="s">
        <v>58</v>
      </c>
      <c r="G233" t="s">
        <v>50</v>
      </c>
      <c r="H233" t="s">
        <v>26</v>
      </c>
      <c r="I233" t="str">
        <f t="shared" si="15"/>
        <v>Wednesday</v>
      </c>
      <c r="J233" t="str">
        <f t="shared" si="12"/>
        <v>Weekday</v>
      </c>
      <c r="K233" t="str">
        <f t="shared" si="13"/>
        <v>Normal</v>
      </c>
      <c r="L233" t="str">
        <f t="shared" si="14"/>
        <v>Normal</v>
      </c>
    </row>
    <row r="234" spans="1:12" x14ac:dyDescent="0.25">
      <c r="A234" t="s">
        <v>322</v>
      </c>
      <c r="B234" t="s">
        <v>175</v>
      </c>
      <c r="C234" s="1">
        <v>45391</v>
      </c>
      <c r="D234">
        <v>74695</v>
      </c>
      <c r="E234" t="s">
        <v>10</v>
      </c>
      <c r="F234" t="s">
        <v>68</v>
      </c>
      <c r="G234" t="s">
        <v>34</v>
      </c>
      <c r="H234" t="s">
        <v>13</v>
      </c>
      <c r="I234" t="str">
        <f t="shared" si="15"/>
        <v>Tuesday</v>
      </c>
      <c r="J234" t="str">
        <f t="shared" si="12"/>
        <v>Weekday</v>
      </c>
      <c r="K234" t="str">
        <f t="shared" si="13"/>
        <v>High Value</v>
      </c>
      <c r="L234" t="str">
        <f t="shared" si="14"/>
        <v>Normal</v>
      </c>
    </row>
    <row r="235" spans="1:12" x14ac:dyDescent="0.25">
      <c r="A235" t="s">
        <v>323</v>
      </c>
      <c r="B235" t="s">
        <v>131</v>
      </c>
      <c r="C235" s="1">
        <v>45388</v>
      </c>
      <c r="D235">
        <v>81281</v>
      </c>
      <c r="E235" t="s">
        <v>16</v>
      </c>
      <c r="F235" t="s">
        <v>29</v>
      </c>
      <c r="G235" t="s">
        <v>25</v>
      </c>
      <c r="H235" t="s">
        <v>13</v>
      </c>
      <c r="I235" t="str">
        <f t="shared" si="15"/>
        <v>Saturday</v>
      </c>
      <c r="J235" t="str">
        <f t="shared" si="12"/>
        <v>Weekend</v>
      </c>
      <c r="K235" t="str">
        <f t="shared" si="13"/>
        <v>High Value</v>
      </c>
      <c r="L235" t="str">
        <f t="shared" si="14"/>
        <v>Suspicious</v>
      </c>
    </row>
    <row r="236" spans="1:12" x14ac:dyDescent="0.25">
      <c r="A236" t="s">
        <v>324</v>
      </c>
      <c r="B236" t="s">
        <v>28</v>
      </c>
      <c r="C236" s="1">
        <v>45376</v>
      </c>
      <c r="D236">
        <v>55876</v>
      </c>
      <c r="E236" t="s">
        <v>32</v>
      </c>
      <c r="F236" t="s">
        <v>92</v>
      </c>
      <c r="G236" t="s">
        <v>18</v>
      </c>
      <c r="H236" t="s">
        <v>26</v>
      </c>
      <c r="I236" t="str">
        <f t="shared" si="15"/>
        <v>Monday</v>
      </c>
      <c r="J236" t="str">
        <f t="shared" si="12"/>
        <v>Weekday</v>
      </c>
      <c r="K236" t="str">
        <f t="shared" si="13"/>
        <v>High Value</v>
      </c>
      <c r="L236" t="str">
        <f t="shared" si="14"/>
        <v>Normal</v>
      </c>
    </row>
    <row r="237" spans="1:12" x14ac:dyDescent="0.25">
      <c r="A237" t="s">
        <v>325</v>
      </c>
      <c r="B237" t="s">
        <v>31</v>
      </c>
      <c r="C237" s="1">
        <v>45319</v>
      </c>
      <c r="D237">
        <v>99251</v>
      </c>
      <c r="E237" t="s">
        <v>37</v>
      </c>
      <c r="F237" t="s">
        <v>58</v>
      </c>
      <c r="G237" t="s">
        <v>50</v>
      </c>
      <c r="H237" t="s">
        <v>26</v>
      </c>
      <c r="I237" t="str">
        <f t="shared" si="15"/>
        <v>Sunday</v>
      </c>
      <c r="J237" t="str">
        <f t="shared" si="12"/>
        <v>Weekend</v>
      </c>
      <c r="K237" t="str">
        <f t="shared" si="13"/>
        <v>High Value</v>
      </c>
      <c r="L237" t="str">
        <f t="shared" si="14"/>
        <v>Suspicious</v>
      </c>
    </row>
    <row r="238" spans="1:12" x14ac:dyDescent="0.25">
      <c r="A238" t="s">
        <v>326</v>
      </c>
      <c r="B238" t="s">
        <v>45</v>
      </c>
      <c r="C238" s="1">
        <v>45378</v>
      </c>
      <c r="D238">
        <v>89230</v>
      </c>
      <c r="E238" t="s">
        <v>41</v>
      </c>
      <c r="F238" t="s">
        <v>101</v>
      </c>
      <c r="G238" t="s">
        <v>18</v>
      </c>
      <c r="H238" t="s">
        <v>26</v>
      </c>
      <c r="I238" t="str">
        <f t="shared" si="15"/>
        <v>Wednesday</v>
      </c>
      <c r="J238" t="str">
        <f t="shared" si="12"/>
        <v>Weekday</v>
      </c>
      <c r="K238" t="str">
        <f t="shared" si="13"/>
        <v>High Value</v>
      </c>
      <c r="L238" t="str">
        <f t="shared" si="14"/>
        <v>Suspicious</v>
      </c>
    </row>
    <row r="239" spans="1:12" x14ac:dyDescent="0.25">
      <c r="A239" t="s">
        <v>327</v>
      </c>
      <c r="B239" t="s">
        <v>60</v>
      </c>
      <c r="C239" s="1">
        <v>45342</v>
      </c>
      <c r="D239">
        <v>78854</v>
      </c>
      <c r="E239" t="s">
        <v>41</v>
      </c>
      <c r="F239" t="s">
        <v>42</v>
      </c>
      <c r="G239" t="s">
        <v>34</v>
      </c>
      <c r="H239" t="s">
        <v>13</v>
      </c>
      <c r="I239" t="str">
        <f t="shared" si="15"/>
        <v>Tuesday</v>
      </c>
      <c r="J239" t="str">
        <f t="shared" si="12"/>
        <v>Weekday</v>
      </c>
      <c r="K239" t="str">
        <f t="shared" si="13"/>
        <v>High Value</v>
      </c>
      <c r="L239" t="str">
        <f t="shared" si="14"/>
        <v>Suspicious</v>
      </c>
    </row>
    <row r="240" spans="1:12" x14ac:dyDescent="0.25">
      <c r="A240" t="s">
        <v>328</v>
      </c>
      <c r="B240" t="s">
        <v>63</v>
      </c>
      <c r="C240" s="1">
        <v>45390</v>
      </c>
      <c r="D240">
        <v>18287</v>
      </c>
      <c r="E240" t="s">
        <v>32</v>
      </c>
      <c r="F240" t="s">
        <v>33</v>
      </c>
      <c r="G240" t="s">
        <v>50</v>
      </c>
      <c r="H240" t="s">
        <v>26</v>
      </c>
      <c r="I240" t="str">
        <f t="shared" si="15"/>
        <v>Monday</v>
      </c>
      <c r="J240" t="str">
        <f t="shared" si="12"/>
        <v>Weekday</v>
      </c>
      <c r="K240" t="str">
        <f t="shared" si="13"/>
        <v>Normal</v>
      </c>
      <c r="L240" t="str">
        <f t="shared" si="14"/>
        <v>Normal</v>
      </c>
    </row>
    <row r="241" spans="1:12" x14ac:dyDescent="0.25">
      <c r="A241" t="s">
        <v>329</v>
      </c>
      <c r="B241" t="s">
        <v>224</v>
      </c>
      <c r="C241" s="1">
        <v>45355</v>
      </c>
      <c r="D241">
        <v>98212</v>
      </c>
      <c r="E241" t="s">
        <v>41</v>
      </c>
      <c r="F241" t="s">
        <v>101</v>
      </c>
      <c r="G241" t="s">
        <v>12</v>
      </c>
      <c r="H241" t="s">
        <v>13</v>
      </c>
      <c r="I241" t="str">
        <f t="shared" si="15"/>
        <v>Monday</v>
      </c>
      <c r="J241" t="str">
        <f t="shared" si="12"/>
        <v>Weekday</v>
      </c>
      <c r="K241" t="str">
        <f t="shared" si="13"/>
        <v>High Value</v>
      </c>
      <c r="L241" t="str">
        <f t="shared" si="14"/>
        <v>Suspicious</v>
      </c>
    </row>
    <row r="242" spans="1:12" x14ac:dyDescent="0.25">
      <c r="A242" t="s">
        <v>330</v>
      </c>
      <c r="B242" t="s">
        <v>77</v>
      </c>
      <c r="C242" s="1">
        <v>45382</v>
      </c>
      <c r="D242">
        <v>30461</v>
      </c>
      <c r="E242" t="s">
        <v>37</v>
      </c>
      <c r="F242" t="s">
        <v>38</v>
      </c>
      <c r="G242" t="s">
        <v>34</v>
      </c>
      <c r="H242" t="s">
        <v>26</v>
      </c>
      <c r="I242" t="str">
        <f t="shared" si="15"/>
        <v>Sunday</v>
      </c>
      <c r="J242" t="str">
        <f t="shared" si="12"/>
        <v>Weekend</v>
      </c>
      <c r="K242" t="str">
        <f t="shared" si="13"/>
        <v>Normal</v>
      </c>
      <c r="L242" t="str">
        <f t="shared" si="14"/>
        <v>Normal</v>
      </c>
    </row>
    <row r="243" spans="1:12" x14ac:dyDescent="0.25">
      <c r="A243" t="s">
        <v>331</v>
      </c>
      <c r="B243" t="s">
        <v>138</v>
      </c>
      <c r="C243" s="1">
        <v>45347</v>
      </c>
      <c r="D243">
        <v>2756</v>
      </c>
      <c r="E243" t="s">
        <v>10</v>
      </c>
      <c r="F243" t="s">
        <v>11</v>
      </c>
      <c r="G243" t="s">
        <v>34</v>
      </c>
      <c r="H243" t="s">
        <v>26</v>
      </c>
      <c r="I243" t="str">
        <f t="shared" si="15"/>
        <v>Sunday</v>
      </c>
      <c r="J243" t="str">
        <f t="shared" si="12"/>
        <v>Weekend</v>
      </c>
      <c r="K243" t="str">
        <f t="shared" si="13"/>
        <v>Normal</v>
      </c>
      <c r="L243" t="str">
        <f t="shared" si="14"/>
        <v>Normal</v>
      </c>
    </row>
    <row r="244" spans="1:12" x14ac:dyDescent="0.25">
      <c r="A244" t="s">
        <v>332</v>
      </c>
      <c r="B244" t="s">
        <v>20</v>
      </c>
      <c r="C244" s="1">
        <v>45365</v>
      </c>
      <c r="D244">
        <v>53308</v>
      </c>
      <c r="E244" t="s">
        <v>21</v>
      </c>
      <c r="F244" t="s">
        <v>46</v>
      </c>
      <c r="G244" t="s">
        <v>50</v>
      </c>
      <c r="H244" t="s">
        <v>13</v>
      </c>
      <c r="I244" t="str">
        <f t="shared" si="15"/>
        <v>Thursday</v>
      </c>
      <c r="J244" t="str">
        <f t="shared" si="12"/>
        <v>Weekday</v>
      </c>
      <c r="K244" t="str">
        <f t="shared" si="13"/>
        <v>High Value</v>
      </c>
      <c r="L244" t="str">
        <f t="shared" si="14"/>
        <v>Normal</v>
      </c>
    </row>
    <row r="245" spans="1:12" x14ac:dyDescent="0.25">
      <c r="A245" t="s">
        <v>333</v>
      </c>
      <c r="B245" t="s">
        <v>86</v>
      </c>
      <c r="C245" s="1">
        <v>45333</v>
      </c>
      <c r="D245">
        <v>22827</v>
      </c>
      <c r="E245" t="s">
        <v>37</v>
      </c>
      <c r="F245" t="s">
        <v>38</v>
      </c>
      <c r="G245" t="s">
        <v>25</v>
      </c>
      <c r="H245" t="s">
        <v>26</v>
      </c>
      <c r="I245" t="str">
        <f t="shared" si="15"/>
        <v>Sunday</v>
      </c>
      <c r="J245" t="str">
        <f t="shared" si="12"/>
        <v>Weekend</v>
      </c>
      <c r="K245" t="str">
        <f t="shared" si="13"/>
        <v>Normal</v>
      </c>
      <c r="L245" t="str">
        <f t="shared" si="14"/>
        <v>Normal</v>
      </c>
    </row>
    <row r="246" spans="1:12" x14ac:dyDescent="0.25">
      <c r="A246" t="s">
        <v>334</v>
      </c>
      <c r="B246" t="s">
        <v>20</v>
      </c>
      <c r="C246" s="1">
        <v>45400</v>
      </c>
      <c r="D246">
        <v>14175</v>
      </c>
      <c r="E246" t="s">
        <v>41</v>
      </c>
      <c r="F246" t="s">
        <v>98</v>
      </c>
      <c r="G246" t="s">
        <v>43</v>
      </c>
      <c r="H246" t="s">
        <v>26</v>
      </c>
      <c r="I246" t="str">
        <f t="shared" si="15"/>
        <v>Thursday</v>
      </c>
      <c r="J246" t="str">
        <f t="shared" si="12"/>
        <v>Weekday</v>
      </c>
      <c r="K246" t="str">
        <f t="shared" si="13"/>
        <v>Normal</v>
      </c>
      <c r="L246" t="str">
        <f t="shared" si="14"/>
        <v>Normal</v>
      </c>
    </row>
    <row r="247" spans="1:12" x14ac:dyDescent="0.25">
      <c r="A247" t="s">
        <v>335</v>
      </c>
      <c r="B247" t="s">
        <v>187</v>
      </c>
      <c r="C247" s="1">
        <v>45342</v>
      </c>
      <c r="D247">
        <v>114401</v>
      </c>
      <c r="E247" t="s">
        <v>21</v>
      </c>
      <c r="F247" t="s">
        <v>46</v>
      </c>
      <c r="G247" t="s">
        <v>25</v>
      </c>
      <c r="H247" t="s">
        <v>26</v>
      </c>
      <c r="I247" t="str">
        <f t="shared" si="15"/>
        <v>Tuesday</v>
      </c>
      <c r="J247" t="str">
        <f t="shared" si="12"/>
        <v>Weekday</v>
      </c>
      <c r="K247" t="str">
        <f t="shared" si="13"/>
        <v>High Value</v>
      </c>
      <c r="L247" t="str">
        <f t="shared" si="14"/>
        <v>Suspicious</v>
      </c>
    </row>
    <row r="248" spans="1:12" x14ac:dyDescent="0.25">
      <c r="A248" t="s">
        <v>336</v>
      </c>
      <c r="B248" t="s">
        <v>249</v>
      </c>
      <c r="C248" s="1">
        <v>45391</v>
      </c>
      <c r="D248">
        <v>22337</v>
      </c>
      <c r="E248" t="s">
        <v>16</v>
      </c>
      <c r="F248" t="s">
        <v>29</v>
      </c>
      <c r="G248" t="s">
        <v>18</v>
      </c>
      <c r="H248" t="s">
        <v>13</v>
      </c>
      <c r="I248" t="str">
        <f t="shared" si="15"/>
        <v>Tuesday</v>
      </c>
      <c r="J248" t="str">
        <f t="shared" si="12"/>
        <v>Weekday</v>
      </c>
      <c r="K248" t="str">
        <f t="shared" si="13"/>
        <v>Normal</v>
      </c>
      <c r="L248" t="str">
        <f t="shared" si="14"/>
        <v>Normal</v>
      </c>
    </row>
    <row r="249" spans="1:12" x14ac:dyDescent="0.25">
      <c r="A249" t="s">
        <v>337</v>
      </c>
      <c r="B249" t="s">
        <v>82</v>
      </c>
      <c r="C249" s="1">
        <v>45316</v>
      </c>
      <c r="D249">
        <v>119041</v>
      </c>
      <c r="E249" t="s">
        <v>21</v>
      </c>
      <c r="F249" t="s">
        <v>46</v>
      </c>
      <c r="G249" t="s">
        <v>50</v>
      </c>
      <c r="H249" t="s">
        <v>13</v>
      </c>
      <c r="I249" t="str">
        <f t="shared" si="15"/>
        <v>Thursday</v>
      </c>
      <c r="J249" t="str">
        <f t="shared" si="12"/>
        <v>Weekday</v>
      </c>
      <c r="K249" t="str">
        <f t="shared" si="13"/>
        <v>High Value</v>
      </c>
      <c r="L249" t="str">
        <f t="shared" si="14"/>
        <v>Suspicious</v>
      </c>
    </row>
    <row r="250" spans="1:12" x14ac:dyDescent="0.25">
      <c r="A250" t="s">
        <v>338</v>
      </c>
      <c r="B250" t="s">
        <v>36</v>
      </c>
      <c r="C250" s="1">
        <v>45310</v>
      </c>
      <c r="D250">
        <v>33850</v>
      </c>
      <c r="E250" t="s">
        <v>16</v>
      </c>
      <c r="F250" t="s">
        <v>29</v>
      </c>
      <c r="G250" t="s">
        <v>12</v>
      </c>
      <c r="H250" t="s">
        <v>13</v>
      </c>
      <c r="I250" t="str">
        <f t="shared" si="15"/>
        <v>Friday</v>
      </c>
      <c r="J250" t="str">
        <f t="shared" si="12"/>
        <v>Weekday</v>
      </c>
      <c r="K250" t="str">
        <f t="shared" si="13"/>
        <v>Normal</v>
      </c>
      <c r="L250" t="str">
        <f t="shared" si="14"/>
        <v>Normal</v>
      </c>
    </row>
    <row r="251" spans="1:12" x14ac:dyDescent="0.25">
      <c r="A251" t="s">
        <v>339</v>
      </c>
      <c r="B251" t="s">
        <v>48</v>
      </c>
      <c r="C251" s="1">
        <v>45314</v>
      </c>
      <c r="D251">
        <v>101598</v>
      </c>
      <c r="E251" t="s">
        <v>10</v>
      </c>
      <c r="F251" t="s">
        <v>68</v>
      </c>
      <c r="G251" t="s">
        <v>43</v>
      </c>
      <c r="H251" t="s">
        <v>26</v>
      </c>
      <c r="I251" t="str">
        <f t="shared" si="15"/>
        <v>Tuesday</v>
      </c>
      <c r="J251" t="str">
        <f t="shared" si="12"/>
        <v>Weekday</v>
      </c>
      <c r="K251" t="str">
        <f t="shared" si="13"/>
        <v>High Value</v>
      </c>
      <c r="L251" t="str">
        <f t="shared" si="14"/>
        <v>Suspicious</v>
      </c>
    </row>
    <row r="252" spans="1:12" x14ac:dyDescent="0.25">
      <c r="A252" t="s">
        <v>340</v>
      </c>
      <c r="B252" t="s">
        <v>72</v>
      </c>
      <c r="C252" s="1">
        <v>45366</v>
      </c>
      <c r="D252">
        <v>59138</v>
      </c>
      <c r="E252" t="s">
        <v>21</v>
      </c>
      <c r="F252" t="s">
        <v>46</v>
      </c>
      <c r="G252" t="s">
        <v>25</v>
      </c>
      <c r="H252" t="s">
        <v>26</v>
      </c>
      <c r="I252" t="str">
        <f t="shared" si="15"/>
        <v>Friday</v>
      </c>
      <c r="J252" t="str">
        <f t="shared" si="12"/>
        <v>Weekday</v>
      </c>
      <c r="K252" t="str">
        <f t="shared" si="13"/>
        <v>High Value</v>
      </c>
      <c r="L252" t="str">
        <f t="shared" si="14"/>
        <v>Normal</v>
      </c>
    </row>
    <row r="253" spans="1:12" x14ac:dyDescent="0.25">
      <c r="A253" t="s">
        <v>341</v>
      </c>
      <c r="B253" t="s">
        <v>28</v>
      </c>
      <c r="C253" s="1">
        <v>45300</v>
      </c>
      <c r="D253">
        <v>61762</v>
      </c>
      <c r="E253" t="s">
        <v>16</v>
      </c>
      <c r="F253" t="s">
        <v>52</v>
      </c>
      <c r="G253" t="s">
        <v>25</v>
      </c>
      <c r="H253" t="s">
        <v>26</v>
      </c>
      <c r="I253" t="str">
        <f t="shared" si="15"/>
        <v>Tuesday</v>
      </c>
      <c r="J253" t="str">
        <f t="shared" si="12"/>
        <v>Weekday</v>
      </c>
      <c r="K253" t="str">
        <f t="shared" si="13"/>
        <v>High Value</v>
      </c>
      <c r="L253" t="str">
        <f t="shared" si="14"/>
        <v>Normal</v>
      </c>
    </row>
    <row r="254" spans="1:12" x14ac:dyDescent="0.25">
      <c r="A254" t="s">
        <v>342</v>
      </c>
      <c r="B254" t="s">
        <v>97</v>
      </c>
      <c r="C254" s="1">
        <v>45299</v>
      </c>
      <c r="D254">
        <v>46429</v>
      </c>
      <c r="E254" t="s">
        <v>32</v>
      </c>
      <c r="F254" t="s">
        <v>79</v>
      </c>
      <c r="G254" t="s">
        <v>50</v>
      </c>
      <c r="H254" t="s">
        <v>26</v>
      </c>
      <c r="I254" t="str">
        <f t="shared" si="15"/>
        <v>Monday</v>
      </c>
      <c r="J254" t="str">
        <f t="shared" si="12"/>
        <v>Weekday</v>
      </c>
      <c r="K254" t="str">
        <f t="shared" si="13"/>
        <v>Normal</v>
      </c>
      <c r="L254" t="str">
        <f t="shared" si="14"/>
        <v>Normal</v>
      </c>
    </row>
    <row r="255" spans="1:12" x14ac:dyDescent="0.25">
      <c r="A255" t="s">
        <v>343</v>
      </c>
      <c r="B255" t="s">
        <v>138</v>
      </c>
      <c r="C255" s="1">
        <v>45299</v>
      </c>
      <c r="D255">
        <v>48631</v>
      </c>
      <c r="E255" t="s">
        <v>37</v>
      </c>
      <c r="F255" t="s">
        <v>38</v>
      </c>
      <c r="G255" t="s">
        <v>34</v>
      </c>
      <c r="H255" t="s">
        <v>13</v>
      </c>
      <c r="I255" t="str">
        <f t="shared" si="15"/>
        <v>Monday</v>
      </c>
      <c r="J255" t="str">
        <f t="shared" si="12"/>
        <v>Weekday</v>
      </c>
      <c r="K255" t="str">
        <f t="shared" si="13"/>
        <v>Normal</v>
      </c>
      <c r="L255" t="str">
        <f t="shared" si="14"/>
        <v>Normal</v>
      </c>
    </row>
    <row r="256" spans="1:12" x14ac:dyDescent="0.25">
      <c r="A256" t="s">
        <v>344</v>
      </c>
      <c r="B256" t="s">
        <v>24</v>
      </c>
      <c r="C256" s="1">
        <v>45356</v>
      </c>
      <c r="D256">
        <v>50694</v>
      </c>
      <c r="E256" t="s">
        <v>21</v>
      </c>
      <c r="F256" t="s">
        <v>46</v>
      </c>
      <c r="G256" t="s">
        <v>18</v>
      </c>
      <c r="H256" t="s">
        <v>13</v>
      </c>
      <c r="I256" t="str">
        <f t="shared" si="15"/>
        <v>Tuesday</v>
      </c>
      <c r="J256" t="str">
        <f t="shared" si="12"/>
        <v>Weekday</v>
      </c>
      <c r="K256" t="str">
        <f t="shared" si="13"/>
        <v>High Value</v>
      </c>
      <c r="L256" t="str">
        <f t="shared" si="14"/>
        <v>Normal</v>
      </c>
    </row>
    <row r="257" spans="1:12" x14ac:dyDescent="0.25">
      <c r="A257" t="s">
        <v>345</v>
      </c>
      <c r="B257" t="s">
        <v>88</v>
      </c>
      <c r="C257" s="1">
        <v>45375</v>
      </c>
      <c r="D257">
        <v>24972</v>
      </c>
      <c r="E257" t="s">
        <v>37</v>
      </c>
      <c r="F257" t="s">
        <v>38</v>
      </c>
      <c r="G257" t="s">
        <v>18</v>
      </c>
      <c r="H257" t="s">
        <v>26</v>
      </c>
      <c r="I257" t="str">
        <f t="shared" si="15"/>
        <v>Sunday</v>
      </c>
      <c r="J257" t="str">
        <f t="shared" si="12"/>
        <v>Weekend</v>
      </c>
      <c r="K257" t="str">
        <f t="shared" si="13"/>
        <v>Normal</v>
      </c>
      <c r="L257" t="str">
        <f t="shared" si="14"/>
        <v>Normal</v>
      </c>
    </row>
    <row r="258" spans="1:12" x14ac:dyDescent="0.25">
      <c r="A258" t="s">
        <v>346</v>
      </c>
      <c r="B258" t="s">
        <v>245</v>
      </c>
      <c r="C258" s="1">
        <v>45299</v>
      </c>
      <c r="D258">
        <v>59350</v>
      </c>
      <c r="E258" t="s">
        <v>21</v>
      </c>
      <c r="F258" t="s">
        <v>22</v>
      </c>
      <c r="G258" t="s">
        <v>50</v>
      </c>
      <c r="H258" t="s">
        <v>13</v>
      </c>
      <c r="I258" t="str">
        <f t="shared" si="15"/>
        <v>Monday</v>
      </c>
      <c r="J258" t="str">
        <f t="shared" si="12"/>
        <v>Weekday</v>
      </c>
      <c r="K258" t="str">
        <f t="shared" si="13"/>
        <v>High Value</v>
      </c>
      <c r="L258" t="str">
        <f t="shared" si="14"/>
        <v>Normal</v>
      </c>
    </row>
    <row r="259" spans="1:12" x14ac:dyDescent="0.25">
      <c r="A259" t="s">
        <v>347</v>
      </c>
      <c r="B259" t="s">
        <v>65</v>
      </c>
      <c r="C259" s="1">
        <v>45314</v>
      </c>
      <c r="D259">
        <v>5430</v>
      </c>
      <c r="E259" t="s">
        <v>21</v>
      </c>
      <c r="F259" t="s">
        <v>22</v>
      </c>
      <c r="G259" t="s">
        <v>25</v>
      </c>
      <c r="H259" t="s">
        <v>26</v>
      </c>
      <c r="I259" t="str">
        <f t="shared" si="15"/>
        <v>Tuesday</v>
      </c>
      <c r="J259" t="str">
        <f t="shared" ref="J259:J322" si="16">IF(OR(I259="Saturday",I259="Sunday"),"Weekend","Weekday")</f>
        <v>Weekday</v>
      </c>
      <c r="K259" t="str">
        <f t="shared" ref="K259:K322" si="17">IF(D259&gt;50000,"High Value","Normal")</f>
        <v>Normal</v>
      </c>
      <c r="L259" t="str">
        <f t="shared" ref="L259:L322" si="18">IF(D259&gt;75000,"Suspicious","Normal")</f>
        <v>Normal</v>
      </c>
    </row>
    <row r="260" spans="1:12" x14ac:dyDescent="0.25">
      <c r="A260" t="s">
        <v>348</v>
      </c>
      <c r="B260" t="s">
        <v>91</v>
      </c>
      <c r="C260" s="1">
        <v>45358</v>
      </c>
      <c r="D260">
        <v>80228</v>
      </c>
      <c r="E260" t="s">
        <v>37</v>
      </c>
      <c r="F260" t="s">
        <v>58</v>
      </c>
      <c r="G260" t="s">
        <v>50</v>
      </c>
      <c r="H260" t="s">
        <v>26</v>
      </c>
      <c r="I260" t="str">
        <f t="shared" si="15"/>
        <v>Thursday</v>
      </c>
      <c r="J260" t="str">
        <f t="shared" si="16"/>
        <v>Weekday</v>
      </c>
      <c r="K260" t="str">
        <f t="shared" si="17"/>
        <v>High Value</v>
      </c>
      <c r="L260" t="str">
        <f t="shared" si="18"/>
        <v>Suspicious</v>
      </c>
    </row>
    <row r="261" spans="1:12" x14ac:dyDescent="0.25">
      <c r="A261" t="s">
        <v>349</v>
      </c>
      <c r="B261" t="s">
        <v>114</v>
      </c>
      <c r="C261" s="1">
        <v>45344</v>
      </c>
      <c r="D261">
        <v>101810</v>
      </c>
      <c r="E261" t="s">
        <v>32</v>
      </c>
      <c r="F261" t="s">
        <v>33</v>
      </c>
      <c r="G261" t="s">
        <v>25</v>
      </c>
      <c r="H261" t="s">
        <v>13</v>
      </c>
      <c r="I261" t="str">
        <f t="shared" ref="I261:I324" si="19">TEXT(C261,"dddd")</f>
        <v>Thursday</v>
      </c>
      <c r="J261" t="str">
        <f t="shared" si="16"/>
        <v>Weekday</v>
      </c>
      <c r="K261" t="str">
        <f t="shared" si="17"/>
        <v>High Value</v>
      </c>
      <c r="L261" t="str">
        <f t="shared" si="18"/>
        <v>Suspicious</v>
      </c>
    </row>
    <row r="262" spans="1:12" x14ac:dyDescent="0.25">
      <c r="A262" t="s">
        <v>350</v>
      </c>
      <c r="B262" t="s">
        <v>65</v>
      </c>
      <c r="C262" s="1">
        <v>45334</v>
      </c>
      <c r="D262">
        <v>8939</v>
      </c>
      <c r="E262" t="s">
        <v>10</v>
      </c>
      <c r="F262" t="s">
        <v>11</v>
      </c>
      <c r="G262" t="s">
        <v>34</v>
      </c>
      <c r="H262" t="s">
        <v>26</v>
      </c>
      <c r="I262" t="str">
        <f t="shared" si="19"/>
        <v>Monday</v>
      </c>
      <c r="J262" t="str">
        <f t="shared" si="16"/>
        <v>Weekday</v>
      </c>
      <c r="K262" t="str">
        <f t="shared" si="17"/>
        <v>Normal</v>
      </c>
      <c r="L262" t="str">
        <f t="shared" si="18"/>
        <v>Normal</v>
      </c>
    </row>
    <row r="263" spans="1:12" x14ac:dyDescent="0.25">
      <c r="A263" t="s">
        <v>351</v>
      </c>
      <c r="B263" t="s">
        <v>75</v>
      </c>
      <c r="C263" s="1">
        <v>45384</v>
      </c>
      <c r="D263">
        <v>111916</v>
      </c>
      <c r="E263" t="s">
        <v>32</v>
      </c>
      <c r="F263" t="s">
        <v>139</v>
      </c>
      <c r="G263" t="s">
        <v>50</v>
      </c>
      <c r="H263" t="s">
        <v>13</v>
      </c>
      <c r="I263" t="str">
        <f t="shared" si="19"/>
        <v>Tuesday</v>
      </c>
      <c r="J263" t="str">
        <f t="shared" si="16"/>
        <v>Weekday</v>
      </c>
      <c r="K263" t="str">
        <f t="shared" si="17"/>
        <v>High Value</v>
      </c>
      <c r="L263" t="str">
        <f t="shared" si="18"/>
        <v>Suspicious</v>
      </c>
    </row>
    <row r="264" spans="1:12" x14ac:dyDescent="0.25">
      <c r="A264" t="s">
        <v>352</v>
      </c>
      <c r="B264" t="s">
        <v>123</v>
      </c>
      <c r="C264" s="1">
        <v>45310</v>
      </c>
      <c r="D264">
        <v>46151</v>
      </c>
      <c r="E264" t="s">
        <v>21</v>
      </c>
      <c r="F264" t="s">
        <v>46</v>
      </c>
      <c r="G264" t="s">
        <v>25</v>
      </c>
      <c r="H264" t="s">
        <v>26</v>
      </c>
      <c r="I264" t="str">
        <f t="shared" si="19"/>
        <v>Friday</v>
      </c>
      <c r="J264" t="str">
        <f t="shared" si="16"/>
        <v>Weekday</v>
      </c>
      <c r="K264" t="str">
        <f t="shared" si="17"/>
        <v>Normal</v>
      </c>
      <c r="L264" t="str">
        <f t="shared" si="18"/>
        <v>Normal</v>
      </c>
    </row>
    <row r="265" spans="1:12" x14ac:dyDescent="0.25">
      <c r="A265" t="s">
        <v>353</v>
      </c>
      <c r="B265" t="s">
        <v>24</v>
      </c>
      <c r="C265" s="1">
        <v>45382</v>
      </c>
      <c r="D265">
        <v>11404</v>
      </c>
      <c r="E265" t="s">
        <v>16</v>
      </c>
      <c r="F265" t="s">
        <v>52</v>
      </c>
      <c r="G265" t="s">
        <v>18</v>
      </c>
      <c r="H265" t="s">
        <v>26</v>
      </c>
      <c r="I265" t="str">
        <f t="shared" si="19"/>
        <v>Sunday</v>
      </c>
      <c r="J265" t="str">
        <f t="shared" si="16"/>
        <v>Weekend</v>
      </c>
      <c r="K265" t="str">
        <f t="shared" si="17"/>
        <v>Normal</v>
      </c>
      <c r="L265" t="str">
        <f t="shared" si="18"/>
        <v>Normal</v>
      </c>
    </row>
    <row r="266" spans="1:12" x14ac:dyDescent="0.25">
      <c r="A266" t="s">
        <v>354</v>
      </c>
      <c r="B266" t="s">
        <v>249</v>
      </c>
      <c r="C266" s="1">
        <v>45396</v>
      </c>
      <c r="D266">
        <v>17050</v>
      </c>
      <c r="E266" t="s">
        <v>10</v>
      </c>
      <c r="F266" t="s">
        <v>68</v>
      </c>
      <c r="G266" t="s">
        <v>25</v>
      </c>
      <c r="H266" t="s">
        <v>13</v>
      </c>
      <c r="I266" t="str">
        <f t="shared" si="19"/>
        <v>Sunday</v>
      </c>
      <c r="J266" t="str">
        <f t="shared" si="16"/>
        <v>Weekend</v>
      </c>
      <c r="K266" t="str">
        <f t="shared" si="17"/>
        <v>Normal</v>
      </c>
      <c r="L266" t="str">
        <f t="shared" si="18"/>
        <v>Normal</v>
      </c>
    </row>
    <row r="267" spans="1:12" x14ac:dyDescent="0.25">
      <c r="A267" t="s">
        <v>355</v>
      </c>
      <c r="B267" t="s">
        <v>123</v>
      </c>
      <c r="C267" s="1">
        <v>45346</v>
      </c>
      <c r="D267">
        <v>66948</v>
      </c>
      <c r="E267" t="s">
        <v>10</v>
      </c>
      <c r="F267" t="s">
        <v>11</v>
      </c>
      <c r="G267" t="s">
        <v>34</v>
      </c>
      <c r="H267" t="s">
        <v>26</v>
      </c>
      <c r="I267" t="str">
        <f t="shared" si="19"/>
        <v>Saturday</v>
      </c>
      <c r="J267" t="str">
        <f t="shared" si="16"/>
        <v>Weekend</v>
      </c>
      <c r="K267" t="str">
        <f t="shared" si="17"/>
        <v>High Value</v>
      </c>
      <c r="L267" t="str">
        <f t="shared" si="18"/>
        <v>Normal</v>
      </c>
    </row>
    <row r="268" spans="1:12" x14ac:dyDescent="0.25">
      <c r="A268" t="s">
        <v>356</v>
      </c>
      <c r="B268" t="s">
        <v>147</v>
      </c>
      <c r="C268" s="1">
        <v>45319</v>
      </c>
      <c r="D268">
        <v>45091</v>
      </c>
      <c r="E268" t="s">
        <v>32</v>
      </c>
      <c r="F268" t="s">
        <v>92</v>
      </c>
      <c r="G268" t="s">
        <v>12</v>
      </c>
      <c r="H268" t="s">
        <v>13</v>
      </c>
      <c r="I268" t="str">
        <f t="shared" si="19"/>
        <v>Sunday</v>
      </c>
      <c r="J268" t="str">
        <f t="shared" si="16"/>
        <v>Weekend</v>
      </c>
      <c r="K268" t="str">
        <f t="shared" si="17"/>
        <v>Normal</v>
      </c>
      <c r="L268" t="str">
        <f t="shared" si="18"/>
        <v>Normal</v>
      </c>
    </row>
    <row r="269" spans="1:12" x14ac:dyDescent="0.25">
      <c r="A269" t="s">
        <v>357</v>
      </c>
      <c r="B269" t="s">
        <v>245</v>
      </c>
      <c r="C269" s="1">
        <v>45301</v>
      </c>
      <c r="D269">
        <v>39070</v>
      </c>
      <c r="E269" t="s">
        <v>16</v>
      </c>
      <c r="F269" t="s">
        <v>29</v>
      </c>
      <c r="G269" t="s">
        <v>18</v>
      </c>
      <c r="H269" t="s">
        <v>13</v>
      </c>
      <c r="I269" t="str">
        <f t="shared" si="19"/>
        <v>Wednesday</v>
      </c>
      <c r="J269" t="str">
        <f t="shared" si="16"/>
        <v>Weekday</v>
      </c>
      <c r="K269" t="str">
        <f t="shared" si="17"/>
        <v>Normal</v>
      </c>
      <c r="L269" t="str">
        <f t="shared" si="18"/>
        <v>Normal</v>
      </c>
    </row>
    <row r="270" spans="1:12" x14ac:dyDescent="0.25">
      <c r="A270" t="s">
        <v>358</v>
      </c>
      <c r="B270" t="s">
        <v>249</v>
      </c>
      <c r="C270" s="1">
        <v>45404</v>
      </c>
      <c r="D270">
        <v>100741</v>
      </c>
      <c r="E270" t="s">
        <v>10</v>
      </c>
      <c r="F270" t="s">
        <v>68</v>
      </c>
      <c r="G270" t="s">
        <v>12</v>
      </c>
      <c r="H270" t="s">
        <v>26</v>
      </c>
      <c r="I270" t="str">
        <f t="shared" si="19"/>
        <v>Monday</v>
      </c>
      <c r="J270" t="str">
        <f t="shared" si="16"/>
        <v>Weekday</v>
      </c>
      <c r="K270" t="str">
        <f t="shared" si="17"/>
        <v>High Value</v>
      </c>
      <c r="L270" t="str">
        <f t="shared" si="18"/>
        <v>Suspicious</v>
      </c>
    </row>
    <row r="271" spans="1:12" x14ac:dyDescent="0.25">
      <c r="A271" t="s">
        <v>359</v>
      </c>
      <c r="B271" t="s">
        <v>131</v>
      </c>
      <c r="C271" s="1">
        <v>45315</v>
      </c>
      <c r="D271">
        <v>109266</v>
      </c>
      <c r="E271" t="s">
        <v>16</v>
      </c>
      <c r="F271" t="s">
        <v>17</v>
      </c>
      <c r="G271" t="s">
        <v>18</v>
      </c>
      <c r="H271" t="s">
        <v>13</v>
      </c>
      <c r="I271" t="str">
        <f t="shared" si="19"/>
        <v>Wednesday</v>
      </c>
      <c r="J271" t="str">
        <f t="shared" si="16"/>
        <v>Weekday</v>
      </c>
      <c r="K271" t="str">
        <f t="shared" si="17"/>
        <v>High Value</v>
      </c>
      <c r="L271" t="str">
        <f t="shared" si="18"/>
        <v>Suspicious</v>
      </c>
    </row>
    <row r="272" spans="1:12" x14ac:dyDescent="0.25">
      <c r="A272" t="s">
        <v>360</v>
      </c>
      <c r="B272" t="s">
        <v>28</v>
      </c>
      <c r="C272" s="1">
        <v>45297</v>
      </c>
      <c r="D272">
        <v>54152</v>
      </c>
      <c r="E272" t="s">
        <v>10</v>
      </c>
      <c r="F272" t="s">
        <v>11</v>
      </c>
      <c r="G272" t="s">
        <v>25</v>
      </c>
      <c r="H272" t="s">
        <v>13</v>
      </c>
      <c r="I272" t="str">
        <f t="shared" si="19"/>
        <v>Saturday</v>
      </c>
      <c r="J272" t="str">
        <f t="shared" si="16"/>
        <v>Weekend</v>
      </c>
      <c r="K272" t="str">
        <f t="shared" si="17"/>
        <v>High Value</v>
      </c>
      <c r="L272" t="str">
        <f t="shared" si="18"/>
        <v>Normal</v>
      </c>
    </row>
    <row r="273" spans="1:12" x14ac:dyDescent="0.25">
      <c r="A273" t="s">
        <v>361</v>
      </c>
      <c r="B273" t="s">
        <v>128</v>
      </c>
      <c r="C273" s="1">
        <v>45328</v>
      </c>
      <c r="D273">
        <v>98917</v>
      </c>
      <c r="E273" t="s">
        <v>37</v>
      </c>
      <c r="F273" t="s">
        <v>38</v>
      </c>
      <c r="G273" t="s">
        <v>12</v>
      </c>
      <c r="H273" t="s">
        <v>13</v>
      </c>
      <c r="I273" t="str">
        <f t="shared" si="19"/>
        <v>Tuesday</v>
      </c>
      <c r="J273" t="str">
        <f t="shared" si="16"/>
        <v>Weekday</v>
      </c>
      <c r="K273" t="str">
        <f t="shared" si="17"/>
        <v>High Value</v>
      </c>
      <c r="L273" t="str">
        <f t="shared" si="18"/>
        <v>Suspicious</v>
      </c>
    </row>
    <row r="274" spans="1:12" x14ac:dyDescent="0.25">
      <c r="A274" t="s">
        <v>362</v>
      </c>
      <c r="B274" t="s">
        <v>206</v>
      </c>
      <c r="C274" s="1">
        <v>45407</v>
      </c>
      <c r="D274">
        <v>109759</v>
      </c>
      <c r="E274" t="s">
        <v>32</v>
      </c>
      <c r="F274" t="s">
        <v>139</v>
      </c>
      <c r="G274" t="s">
        <v>50</v>
      </c>
      <c r="H274" t="s">
        <v>26</v>
      </c>
      <c r="I274" t="str">
        <f t="shared" si="19"/>
        <v>Thursday</v>
      </c>
      <c r="J274" t="str">
        <f t="shared" si="16"/>
        <v>Weekday</v>
      </c>
      <c r="K274" t="str">
        <f t="shared" si="17"/>
        <v>High Value</v>
      </c>
      <c r="L274" t="str">
        <f t="shared" si="18"/>
        <v>Suspicious</v>
      </c>
    </row>
    <row r="275" spans="1:12" x14ac:dyDescent="0.25">
      <c r="A275" t="s">
        <v>363</v>
      </c>
      <c r="B275" t="s">
        <v>84</v>
      </c>
      <c r="C275" s="1">
        <v>45328</v>
      </c>
      <c r="D275">
        <v>102290</v>
      </c>
      <c r="E275" t="s">
        <v>37</v>
      </c>
      <c r="F275" t="s">
        <v>38</v>
      </c>
      <c r="G275" t="s">
        <v>18</v>
      </c>
      <c r="H275" t="s">
        <v>26</v>
      </c>
      <c r="I275" t="str">
        <f t="shared" si="19"/>
        <v>Tuesday</v>
      </c>
      <c r="J275" t="str">
        <f t="shared" si="16"/>
        <v>Weekday</v>
      </c>
      <c r="K275" t="str">
        <f t="shared" si="17"/>
        <v>High Value</v>
      </c>
      <c r="L275" t="str">
        <f t="shared" si="18"/>
        <v>Suspicious</v>
      </c>
    </row>
    <row r="276" spans="1:12" x14ac:dyDescent="0.25">
      <c r="A276" t="s">
        <v>364</v>
      </c>
      <c r="B276" t="s">
        <v>204</v>
      </c>
      <c r="C276" s="1">
        <v>45394</v>
      </c>
      <c r="D276">
        <v>79554</v>
      </c>
      <c r="E276" t="s">
        <v>16</v>
      </c>
      <c r="F276" t="s">
        <v>29</v>
      </c>
      <c r="G276" t="s">
        <v>50</v>
      </c>
      <c r="H276" t="s">
        <v>13</v>
      </c>
      <c r="I276" t="str">
        <f t="shared" si="19"/>
        <v>Friday</v>
      </c>
      <c r="J276" t="str">
        <f t="shared" si="16"/>
        <v>Weekday</v>
      </c>
      <c r="K276" t="str">
        <f t="shared" si="17"/>
        <v>High Value</v>
      </c>
      <c r="L276" t="str">
        <f t="shared" si="18"/>
        <v>Suspicious</v>
      </c>
    </row>
    <row r="277" spans="1:12" x14ac:dyDescent="0.25">
      <c r="A277" t="s">
        <v>365</v>
      </c>
      <c r="B277" t="s">
        <v>206</v>
      </c>
      <c r="C277" s="1">
        <v>45403</v>
      </c>
      <c r="D277">
        <v>48955</v>
      </c>
      <c r="E277" t="s">
        <v>10</v>
      </c>
      <c r="F277" t="s">
        <v>68</v>
      </c>
      <c r="G277" t="s">
        <v>34</v>
      </c>
      <c r="H277" t="s">
        <v>13</v>
      </c>
      <c r="I277" t="str">
        <f t="shared" si="19"/>
        <v>Sunday</v>
      </c>
      <c r="J277" t="str">
        <f t="shared" si="16"/>
        <v>Weekend</v>
      </c>
      <c r="K277" t="str">
        <f t="shared" si="17"/>
        <v>Normal</v>
      </c>
      <c r="L277" t="str">
        <f t="shared" si="18"/>
        <v>Normal</v>
      </c>
    </row>
    <row r="278" spans="1:12" x14ac:dyDescent="0.25">
      <c r="A278" t="s">
        <v>366</v>
      </c>
      <c r="B278" t="s">
        <v>187</v>
      </c>
      <c r="C278" s="1">
        <v>45389</v>
      </c>
      <c r="D278">
        <v>21312</v>
      </c>
      <c r="E278" t="s">
        <v>32</v>
      </c>
      <c r="F278" t="s">
        <v>33</v>
      </c>
      <c r="G278" t="s">
        <v>43</v>
      </c>
      <c r="H278" t="s">
        <v>13</v>
      </c>
      <c r="I278" t="str">
        <f t="shared" si="19"/>
        <v>Sunday</v>
      </c>
      <c r="J278" t="str">
        <f t="shared" si="16"/>
        <v>Weekend</v>
      </c>
      <c r="K278" t="str">
        <f t="shared" si="17"/>
        <v>Normal</v>
      </c>
      <c r="L278" t="str">
        <f t="shared" si="18"/>
        <v>Normal</v>
      </c>
    </row>
    <row r="279" spans="1:12" x14ac:dyDescent="0.25">
      <c r="A279" t="s">
        <v>367</v>
      </c>
      <c r="B279" t="s">
        <v>187</v>
      </c>
      <c r="C279" s="1">
        <v>45408</v>
      </c>
      <c r="D279">
        <v>29402</v>
      </c>
      <c r="E279" t="s">
        <v>37</v>
      </c>
      <c r="F279" t="s">
        <v>38</v>
      </c>
      <c r="G279" t="s">
        <v>50</v>
      </c>
      <c r="H279" t="s">
        <v>13</v>
      </c>
      <c r="I279" t="str">
        <f t="shared" si="19"/>
        <v>Friday</v>
      </c>
      <c r="J279" t="str">
        <f t="shared" si="16"/>
        <v>Weekday</v>
      </c>
      <c r="K279" t="str">
        <f t="shared" si="17"/>
        <v>Normal</v>
      </c>
      <c r="L279" t="str">
        <f t="shared" si="18"/>
        <v>Normal</v>
      </c>
    </row>
    <row r="280" spans="1:12" x14ac:dyDescent="0.25">
      <c r="A280" t="s">
        <v>368</v>
      </c>
      <c r="B280" t="s">
        <v>119</v>
      </c>
      <c r="C280" s="1">
        <v>45342</v>
      </c>
      <c r="D280">
        <v>66099</v>
      </c>
      <c r="E280" t="s">
        <v>37</v>
      </c>
      <c r="F280" t="s">
        <v>38</v>
      </c>
      <c r="G280" t="s">
        <v>12</v>
      </c>
      <c r="H280" t="s">
        <v>26</v>
      </c>
      <c r="I280" t="str">
        <f t="shared" si="19"/>
        <v>Tuesday</v>
      </c>
      <c r="J280" t="str">
        <f t="shared" si="16"/>
        <v>Weekday</v>
      </c>
      <c r="K280" t="str">
        <f t="shared" si="17"/>
        <v>High Value</v>
      </c>
      <c r="L280" t="str">
        <f t="shared" si="18"/>
        <v>Normal</v>
      </c>
    </row>
    <row r="281" spans="1:12" x14ac:dyDescent="0.25">
      <c r="A281" t="s">
        <v>369</v>
      </c>
      <c r="B281" t="s">
        <v>54</v>
      </c>
      <c r="C281" s="1">
        <v>45320</v>
      </c>
      <c r="D281">
        <v>3994</v>
      </c>
      <c r="E281" t="s">
        <v>41</v>
      </c>
      <c r="F281" t="s">
        <v>61</v>
      </c>
      <c r="G281" t="s">
        <v>34</v>
      </c>
      <c r="H281" t="s">
        <v>26</v>
      </c>
      <c r="I281" t="str">
        <f t="shared" si="19"/>
        <v>Monday</v>
      </c>
      <c r="J281" t="str">
        <f t="shared" si="16"/>
        <v>Weekday</v>
      </c>
      <c r="K281" t="str">
        <f t="shared" si="17"/>
        <v>Normal</v>
      </c>
      <c r="L281" t="str">
        <f t="shared" si="18"/>
        <v>Normal</v>
      </c>
    </row>
    <row r="282" spans="1:12" x14ac:dyDescent="0.25">
      <c r="A282" t="s">
        <v>370</v>
      </c>
      <c r="B282" t="s">
        <v>256</v>
      </c>
      <c r="C282" s="1">
        <v>45296</v>
      </c>
      <c r="D282">
        <v>37901</v>
      </c>
      <c r="E282" t="s">
        <v>16</v>
      </c>
      <c r="F282" t="s">
        <v>52</v>
      </c>
      <c r="G282" t="s">
        <v>25</v>
      </c>
      <c r="H282" t="s">
        <v>13</v>
      </c>
      <c r="I282" t="str">
        <f t="shared" si="19"/>
        <v>Friday</v>
      </c>
      <c r="J282" t="str">
        <f t="shared" si="16"/>
        <v>Weekday</v>
      </c>
      <c r="K282" t="str">
        <f t="shared" si="17"/>
        <v>Normal</v>
      </c>
      <c r="L282" t="str">
        <f t="shared" si="18"/>
        <v>Normal</v>
      </c>
    </row>
    <row r="283" spans="1:12" x14ac:dyDescent="0.25">
      <c r="A283" t="s">
        <v>371</v>
      </c>
      <c r="B283" t="s">
        <v>206</v>
      </c>
      <c r="C283" s="1">
        <v>45349</v>
      </c>
      <c r="D283">
        <v>80954</v>
      </c>
      <c r="E283" t="s">
        <v>10</v>
      </c>
      <c r="F283" t="s">
        <v>49</v>
      </c>
      <c r="G283" t="s">
        <v>34</v>
      </c>
      <c r="H283" t="s">
        <v>13</v>
      </c>
      <c r="I283" t="str">
        <f t="shared" si="19"/>
        <v>Tuesday</v>
      </c>
      <c r="J283" t="str">
        <f t="shared" si="16"/>
        <v>Weekday</v>
      </c>
      <c r="K283" t="str">
        <f t="shared" si="17"/>
        <v>High Value</v>
      </c>
      <c r="L283" t="str">
        <f t="shared" si="18"/>
        <v>Suspicious</v>
      </c>
    </row>
    <row r="284" spans="1:12" x14ac:dyDescent="0.25">
      <c r="A284" t="s">
        <v>372</v>
      </c>
      <c r="B284" t="s">
        <v>63</v>
      </c>
      <c r="C284" s="1">
        <v>45398</v>
      </c>
      <c r="D284">
        <v>19897</v>
      </c>
      <c r="E284" t="s">
        <v>32</v>
      </c>
      <c r="F284" t="s">
        <v>92</v>
      </c>
      <c r="G284" t="s">
        <v>34</v>
      </c>
      <c r="H284" t="s">
        <v>26</v>
      </c>
      <c r="I284" t="str">
        <f t="shared" si="19"/>
        <v>Tuesday</v>
      </c>
      <c r="J284" t="str">
        <f t="shared" si="16"/>
        <v>Weekday</v>
      </c>
      <c r="K284" t="str">
        <f t="shared" si="17"/>
        <v>Normal</v>
      </c>
      <c r="L284" t="str">
        <f t="shared" si="18"/>
        <v>Normal</v>
      </c>
    </row>
    <row r="285" spans="1:12" x14ac:dyDescent="0.25">
      <c r="A285" t="s">
        <v>373</v>
      </c>
      <c r="B285" t="s">
        <v>94</v>
      </c>
      <c r="C285" s="1">
        <v>45307</v>
      </c>
      <c r="D285">
        <v>6558</v>
      </c>
      <c r="E285" t="s">
        <v>16</v>
      </c>
      <c r="F285" t="s">
        <v>29</v>
      </c>
      <c r="G285" t="s">
        <v>43</v>
      </c>
      <c r="H285" t="s">
        <v>26</v>
      </c>
      <c r="I285" t="str">
        <f t="shared" si="19"/>
        <v>Tuesday</v>
      </c>
      <c r="J285" t="str">
        <f t="shared" si="16"/>
        <v>Weekday</v>
      </c>
      <c r="K285" t="str">
        <f t="shared" si="17"/>
        <v>Normal</v>
      </c>
      <c r="L285" t="str">
        <f t="shared" si="18"/>
        <v>Normal</v>
      </c>
    </row>
    <row r="286" spans="1:12" x14ac:dyDescent="0.25">
      <c r="A286" t="s">
        <v>374</v>
      </c>
      <c r="B286" t="s">
        <v>9</v>
      </c>
      <c r="C286" s="1">
        <v>45399</v>
      </c>
      <c r="D286">
        <v>118939</v>
      </c>
      <c r="E286" t="s">
        <v>41</v>
      </c>
      <c r="F286" t="s">
        <v>101</v>
      </c>
      <c r="G286" t="s">
        <v>18</v>
      </c>
      <c r="H286" t="s">
        <v>13</v>
      </c>
      <c r="I286" t="str">
        <f t="shared" si="19"/>
        <v>Wednesday</v>
      </c>
      <c r="J286" t="str">
        <f t="shared" si="16"/>
        <v>Weekday</v>
      </c>
      <c r="K286" t="str">
        <f t="shared" si="17"/>
        <v>High Value</v>
      </c>
      <c r="L286" t="str">
        <f t="shared" si="18"/>
        <v>Suspicious</v>
      </c>
    </row>
    <row r="287" spans="1:12" x14ac:dyDescent="0.25">
      <c r="A287" t="s">
        <v>375</v>
      </c>
      <c r="B287" t="s">
        <v>82</v>
      </c>
      <c r="C287" s="1">
        <v>45365</v>
      </c>
      <c r="D287">
        <v>32011</v>
      </c>
      <c r="E287" t="s">
        <v>10</v>
      </c>
      <c r="F287" t="s">
        <v>68</v>
      </c>
      <c r="G287" t="s">
        <v>12</v>
      </c>
      <c r="H287" t="s">
        <v>26</v>
      </c>
      <c r="I287" t="str">
        <f t="shared" si="19"/>
        <v>Thursday</v>
      </c>
      <c r="J287" t="str">
        <f t="shared" si="16"/>
        <v>Weekday</v>
      </c>
      <c r="K287" t="str">
        <f t="shared" si="17"/>
        <v>Normal</v>
      </c>
      <c r="L287" t="str">
        <f t="shared" si="18"/>
        <v>Normal</v>
      </c>
    </row>
    <row r="288" spans="1:12" x14ac:dyDescent="0.25">
      <c r="A288" t="s">
        <v>376</v>
      </c>
      <c r="B288" t="s">
        <v>224</v>
      </c>
      <c r="C288" s="1">
        <v>45370</v>
      </c>
      <c r="D288">
        <v>46544</v>
      </c>
      <c r="E288" t="s">
        <v>37</v>
      </c>
      <c r="F288" t="s">
        <v>58</v>
      </c>
      <c r="G288" t="s">
        <v>18</v>
      </c>
      <c r="H288" t="s">
        <v>26</v>
      </c>
      <c r="I288" t="str">
        <f t="shared" si="19"/>
        <v>Tuesday</v>
      </c>
      <c r="J288" t="str">
        <f t="shared" si="16"/>
        <v>Weekday</v>
      </c>
      <c r="K288" t="str">
        <f t="shared" si="17"/>
        <v>Normal</v>
      </c>
      <c r="L288" t="str">
        <f t="shared" si="18"/>
        <v>Normal</v>
      </c>
    </row>
    <row r="289" spans="1:12" x14ac:dyDescent="0.25">
      <c r="A289" t="s">
        <v>377</v>
      </c>
      <c r="B289" t="s">
        <v>123</v>
      </c>
      <c r="C289" s="1">
        <v>45377</v>
      </c>
      <c r="D289">
        <v>11521</v>
      </c>
      <c r="E289" t="s">
        <v>16</v>
      </c>
      <c r="F289" t="s">
        <v>17</v>
      </c>
      <c r="G289" t="s">
        <v>50</v>
      </c>
      <c r="H289" t="s">
        <v>13</v>
      </c>
      <c r="I289" t="str">
        <f t="shared" si="19"/>
        <v>Tuesday</v>
      </c>
      <c r="J289" t="str">
        <f t="shared" si="16"/>
        <v>Weekday</v>
      </c>
      <c r="K289" t="str">
        <f t="shared" si="17"/>
        <v>Normal</v>
      </c>
      <c r="L289" t="str">
        <f t="shared" si="18"/>
        <v>Normal</v>
      </c>
    </row>
    <row r="290" spans="1:12" x14ac:dyDescent="0.25">
      <c r="A290" t="s">
        <v>378</v>
      </c>
      <c r="B290" t="s">
        <v>77</v>
      </c>
      <c r="C290" s="1">
        <v>45356</v>
      </c>
      <c r="D290">
        <v>103376</v>
      </c>
      <c r="E290" t="s">
        <v>21</v>
      </c>
      <c r="F290" t="s">
        <v>22</v>
      </c>
      <c r="G290" t="s">
        <v>43</v>
      </c>
      <c r="H290" t="s">
        <v>26</v>
      </c>
      <c r="I290" t="str">
        <f t="shared" si="19"/>
        <v>Tuesday</v>
      </c>
      <c r="J290" t="str">
        <f t="shared" si="16"/>
        <v>Weekday</v>
      </c>
      <c r="K290" t="str">
        <f t="shared" si="17"/>
        <v>High Value</v>
      </c>
      <c r="L290" t="str">
        <f t="shared" si="18"/>
        <v>Suspicious</v>
      </c>
    </row>
    <row r="291" spans="1:12" x14ac:dyDescent="0.25">
      <c r="A291" t="s">
        <v>379</v>
      </c>
      <c r="B291" t="s">
        <v>56</v>
      </c>
      <c r="C291" s="1">
        <v>45341</v>
      </c>
      <c r="D291">
        <v>49229</v>
      </c>
      <c r="E291" t="s">
        <v>41</v>
      </c>
      <c r="F291" t="s">
        <v>61</v>
      </c>
      <c r="G291" t="s">
        <v>25</v>
      </c>
      <c r="H291" t="s">
        <v>13</v>
      </c>
      <c r="I291" t="str">
        <f t="shared" si="19"/>
        <v>Monday</v>
      </c>
      <c r="J291" t="str">
        <f t="shared" si="16"/>
        <v>Weekday</v>
      </c>
      <c r="K291" t="str">
        <f t="shared" si="17"/>
        <v>Normal</v>
      </c>
      <c r="L291" t="str">
        <f t="shared" si="18"/>
        <v>Normal</v>
      </c>
    </row>
    <row r="292" spans="1:12" x14ac:dyDescent="0.25">
      <c r="A292" t="s">
        <v>380</v>
      </c>
      <c r="B292" t="s">
        <v>48</v>
      </c>
      <c r="C292" s="1">
        <v>45336</v>
      </c>
      <c r="D292">
        <v>31904</v>
      </c>
      <c r="E292" t="s">
        <v>32</v>
      </c>
      <c r="F292" t="s">
        <v>79</v>
      </c>
      <c r="G292" t="s">
        <v>18</v>
      </c>
      <c r="H292" t="s">
        <v>26</v>
      </c>
      <c r="I292" t="str">
        <f t="shared" si="19"/>
        <v>Wednesday</v>
      </c>
      <c r="J292" t="str">
        <f t="shared" si="16"/>
        <v>Weekday</v>
      </c>
      <c r="K292" t="str">
        <f t="shared" si="17"/>
        <v>Normal</v>
      </c>
      <c r="L292" t="str">
        <f t="shared" si="18"/>
        <v>Normal</v>
      </c>
    </row>
    <row r="293" spans="1:12" x14ac:dyDescent="0.25">
      <c r="A293" t="s">
        <v>381</v>
      </c>
      <c r="B293" t="s">
        <v>138</v>
      </c>
      <c r="C293" s="1">
        <v>45337</v>
      </c>
      <c r="D293">
        <v>71867</v>
      </c>
      <c r="E293" t="s">
        <v>16</v>
      </c>
      <c r="F293" t="s">
        <v>52</v>
      </c>
      <c r="G293" t="s">
        <v>25</v>
      </c>
      <c r="H293" t="s">
        <v>13</v>
      </c>
      <c r="I293" t="str">
        <f t="shared" si="19"/>
        <v>Thursday</v>
      </c>
      <c r="J293" t="str">
        <f t="shared" si="16"/>
        <v>Weekday</v>
      </c>
      <c r="K293" t="str">
        <f t="shared" si="17"/>
        <v>High Value</v>
      </c>
      <c r="L293" t="str">
        <f t="shared" si="18"/>
        <v>Normal</v>
      </c>
    </row>
    <row r="294" spans="1:12" x14ac:dyDescent="0.25">
      <c r="A294" t="s">
        <v>382</v>
      </c>
      <c r="B294" t="s">
        <v>105</v>
      </c>
      <c r="C294" s="1">
        <v>45381</v>
      </c>
      <c r="D294">
        <v>63022</v>
      </c>
      <c r="E294" t="s">
        <v>10</v>
      </c>
      <c r="F294" t="s">
        <v>68</v>
      </c>
      <c r="G294" t="s">
        <v>12</v>
      </c>
      <c r="H294" t="s">
        <v>13</v>
      </c>
      <c r="I294" t="str">
        <f t="shared" si="19"/>
        <v>Saturday</v>
      </c>
      <c r="J294" t="str">
        <f t="shared" si="16"/>
        <v>Weekend</v>
      </c>
      <c r="K294" t="str">
        <f t="shared" si="17"/>
        <v>High Value</v>
      </c>
      <c r="L294" t="str">
        <f t="shared" si="18"/>
        <v>Normal</v>
      </c>
    </row>
    <row r="295" spans="1:12" x14ac:dyDescent="0.25">
      <c r="A295" t="s">
        <v>383</v>
      </c>
      <c r="B295" t="s">
        <v>125</v>
      </c>
      <c r="C295" s="1">
        <v>45391</v>
      </c>
      <c r="D295">
        <v>60288</v>
      </c>
      <c r="E295" t="s">
        <v>41</v>
      </c>
      <c r="F295" t="s">
        <v>42</v>
      </c>
      <c r="G295" t="s">
        <v>50</v>
      </c>
      <c r="H295" t="s">
        <v>13</v>
      </c>
      <c r="I295" t="str">
        <f t="shared" si="19"/>
        <v>Tuesday</v>
      </c>
      <c r="J295" t="str">
        <f t="shared" si="16"/>
        <v>Weekday</v>
      </c>
      <c r="K295" t="str">
        <f t="shared" si="17"/>
        <v>High Value</v>
      </c>
      <c r="L295" t="str">
        <f t="shared" si="18"/>
        <v>Normal</v>
      </c>
    </row>
    <row r="296" spans="1:12" x14ac:dyDescent="0.25">
      <c r="A296" t="s">
        <v>384</v>
      </c>
      <c r="B296" t="s">
        <v>204</v>
      </c>
      <c r="C296" s="1">
        <v>45405</v>
      </c>
      <c r="D296">
        <v>5792</v>
      </c>
      <c r="E296" t="s">
        <v>41</v>
      </c>
      <c r="F296" t="s">
        <v>61</v>
      </c>
      <c r="G296" t="s">
        <v>50</v>
      </c>
      <c r="H296" t="s">
        <v>26</v>
      </c>
      <c r="I296" t="str">
        <f t="shared" si="19"/>
        <v>Tuesday</v>
      </c>
      <c r="J296" t="str">
        <f t="shared" si="16"/>
        <v>Weekday</v>
      </c>
      <c r="K296" t="str">
        <f t="shared" si="17"/>
        <v>Normal</v>
      </c>
      <c r="L296" t="str">
        <f t="shared" si="18"/>
        <v>Normal</v>
      </c>
    </row>
    <row r="297" spans="1:12" x14ac:dyDescent="0.25">
      <c r="A297" t="s">
        <v>385</v>
      </c>
      <c r="B297" t="s">
        <v>206</v>
      </c>
      <c r="C297" s="1">
        <v>45324</v>
      </c>
      <c r="D297">
        <v>5099</v>
      </c>
      <c r="E297" t="s">
        <v>21</v>
      </c>
      <c r="F297" t="s">
        <v>22</v>
      </c>
      <c r="G297" t="s">
        <v>50</v>
      </c>
      <c r="H297" t="s">
        <v>26</v>
      </c>
      <c r="I297" t="str">
        <f t="shared" si="19"/>
        <v>Friday</v>
      </c>
      <c r="J297" t="str">
        <f t="shared" si="16"/>
        <v>Weekday</v>
      </c>
      <c r="K297" t="str">
        <f t="shared" si="17"/>
        <v>Normal</v>
      </c>
      <c r="L297" t="str">
        <f t="shared" si="18"/>
        <v>Normal</v>
      </c>
    </row>
    <row r="298" spans="1:12" x14ac:dyDescent="0.25">
      <c r="A298" t="s">
        <v>386</v>
      </c>
      <c r="B298" t="s">
        <v>65</v>
      </c>
      <c r="C298" s="1">
        <v>45334</v>
      </c>
      <c r="D298">
        <v>36111</v>
      </c>
      <c r="E298" t="s">
        <v>41</v>
      </c>
      <c r="F298" t="s">
        <v>42</v>
      </c>
      <c r="G298" t="s">
        <v>50</v>
      </c>
      <c r="H298" t="s">
        <v>26</v>
      </c>
      <c r="I298" t="str">
        <f t="shared" si="19"/>
        <v>Monday</v>
      </c>
      <c r="J298" t="str">
        <f t="shared" si="16"/>
        <v>Weekday</v>
      </c>
      <c r="K298" t="str">
        <f t="shared" si="17"/>
        <v>Normal</v>
      </c>
      <c r="L298" t="str">
        <f t="shared" si="18"/>
        <v>Normal</v>
      </c>
    </row>
    <row r="299" spans="1:12" x14ac:dyDescent="0.25">
      <c r="A299" t="s">
        <v>387</v>
      </c>
      <c r="B299" t="s">
        <v>15</v>
      </c>
      <c r="C299" s="1">
        <v>45348</v>
      </c>
      <c r="D299">
        <v>117561</v>
      </c>
      <c r="E299" t="s">
        <v>37</v>
      </c>
      <c r="F299" t="s">
        <v>38</v>
      </c>
      <c r="G299" t="s">
        <v>50</v>
      </c>
      <c r="H299" t="s">
        <v>13</v>
      </c>
      <c r="I299" t="str">
        <f t="shared" si="19"/>
        <v>Monday</v>
      </c>
      <c r="J299" t="str">
        <f t="shared" si="16"/>
        <v>Weekday</v>
      </c>
      <c r="K299" t="str">
        <f t="shared" si="17"/>
        <v>High Value</v>
      </c>
      <c r="L299" t="str">
        <f t="shared" si="18"/>
        <v>Suspicious</v>
      </c>
    </row>
    <row r="300" spans="1:12" x14ac:dyDescent="0.25">
      <c r="A300" t="s">
        <v>388</v>
      </c>
      <c r="B300" t="s">
        <v>116</v>
      </c>
      <c r="C300" s="1">
        <v>45355</v>
      </c>
      <c r="D300">
        <v>48448</v>
      </c>
      <c r="E300" t="s">
        <v>37</v>
      </c>
      <c r="F300" t="s">
        <v>38</v>
      </c>
      <c r="G300" t="s">
        <v>34</v>
      </c>
      <c r="H300" t="s">
        <v>26</v>
      </c>
      <c r="I300" t="str">
        <f t="shared" si="19"/>
        <v>Monday</v>
      </c>
      <c r="J300" t="str">
        <f t="shared" si="16"/>
        <v>Weekday</v>
      </c>
      <c r="K300" t="str">
        <f t="shared" si="17"/>
        <v>Normal</v>
      </c>
      <c r="L300" t="str">
        <f t="shared" si="18"/>
        <v>Normal</v>
      </c>
    </row>
    <row r="301" spans="1:12" x14ac:dyDescent="0.25">
      <c r="A301" t="s">
        <v>389</v>
      </c>
      <c r="B301" t="s">
        <v>20</v>
      </c>
      <c r="C301" s="1">
        <v>45369</v>
      </c>
      <c r="D301">
        <v>108085</v>
      </c>
      <c r="E301" t="s">
        <v>41</v>
      </c>
      <c r="F301" t="s">
        <v>98</v>
      </c>
      <c r="G301" t="s">
        <v>18</v>
      </c>
      <c r="H301" t="s">
        <v>26</v>
      </c>
      <c r="I301" t="str">
        <f t="shared" si="19"/>
        <v>Monday</v>
      </c>
      <c r="J301" t="str">
        <f t="shared" si="16"/>
        <v>Weekday</v>
      </c>
      <c r="K301" t="str">
        <f t="shared" si="17"/>
        <v>High Value</v>
      </c>
      <c r="L301" t="str">
        <f t="shared" si="18"/>
        <v>Suspicious</v>
      </c>
    </row>
    <row r="302" spans="1:12" x14ac:dyDescent="0.25">
      <c r="A302" t="s">
        <v>390</v>
      </c>
      <c r="B302" t="s">
        <v>36</v>
      </c>
      <c r="C302" s="1">
        <v>45302</v>
      </c>
      <c r="D302">
        <v>43281</v>
      </c>
      <c r="E302" t="s">
        <v>32</v>
      </c>
      <c r="F302" t="s">
        <v>33</v>
      </c>
      <c r="G302" t="s">
        <v>50</v>
      </c>
      <c r="H302" t="s">
        <v>26</v>
      </c>
      <c r="I302" t="str">
        <f t="shared" si="19"/>
        <v>Thursday</v>
      </c>
      <c r="J302" t="str">
        <f t="shared" si="16"/>
        <v>Weekday</v>
      </c>
      <c r="K302" t="str">
        <f t="shared" si="17"/>
        <v>Normal</v>
      </c>
      <c r="L302" t="str">
        <f t="shared" si="18"/>
        <v>Normal</v>
      </c>
    </row>
    <row r="303" spans="1:12" x14ac:dyDescent="0.25">
      <c r="A303" t="s">
        <v>391</v>
      </c>
      <c r="B303" t="s">
        <v>125</v>
      </c>
      <c r="C303" s="1">
        <v>45346</v>
      </c>
      <c r="D303">
        <v>22142</v>
      </c>
      <c r="E303" t="s">
        <v>21</v>
      </c>
      <c r="F303" t="s">
        <v>46</v>
      </c>
      <c r="G303" t="s">
        <v>50</v>
      </c>
      <c r="H303" t="s">
        <v>26</v>
      </c>
      <c r="I303" t="str">
        <f t="shared" si="19"/>
        <v>Saturday</v>
      </c>
      <c r="J303" t="str">
        <f t="shared" si="16"/>
        <v>Weekend</v>
      </c>
      <c r="K303" t="str">
        <f t="shared" si="17"/>
        <v>Normal</v>
      </c>
      <c r="L303" t="str">
        <f t="shared" si="18"/>
        <v>Normal</v>
      </c>
    </row>
    <row r="304" spans="1:12" x14ac:dyDescent="0.25">
      <c r="A304" t="s">
        <v>392</v>
      </c>
      <c r="B304" t="s">
        <v>40</v>
      </c>
      <c r="C304" s="1">
        <v>45403</v>
      </c>
      <c r="D304">
        <v>119786</v>
      </c>
      <c r="E304" t="s">
        <v>41</v>
      </c>
      <c r="F304" t="s">
        <v>61</v>
      </c>
      <c r="G304" t="s">
        <v>18</v>
      </c>
      <c r="H304" t="s">
        <v>26</v>
      </c>
      <c r="I304" t="str">
        <f t="shared" si="19"/>
        <v>Sunday</v>
      </c>
      <c r="J304" t="str">
        <f t="shared" si="16"/>
        <v>Weekend</v>
      </c>
      <c r="K304" t="str">
        <f t="shared" si="17"/>
        <v>High Value</v>
      </c>
      <c r="L304" t="str">
        <f t="shared" si="18"/>
        <v>Suspicious</v>
      </c>
    </row>
    <row r="305" spans="1:12" x14ac:dyDescent="0.25">
      <c r="A305" t="s">
        <v>393</v>
      </c>
      <c r="B305" t="s">
        <v>56</v>
      </c>
      <c r="C305" s="1">
        <v>45393</v>
      </c>
      <c r="D305">
        <v>7818</v>
      </c>
      <c r="E305" t="s">
        <v>32</v>
      </c>
      <c r="F305" t="s">
        <v>79</v>
      </c>
      <c r="G305" t="s">
        <v>25</v>
      </c>
      <c r="H305" t="s">
        <v>26</v>
      </c>
      <c r="I305" t="str">
        <f t="shared" si="19"/>
        <v>Thursday</v>
      </c>
      <c r="J305" t="str">
        <f t="shared" si="16"/>
        <v>Weekday</v>
      </c>
      <c r="K305" t="str">
        <f t="shared" si="17"/>
        <v>Normal</v>
      </c>
      <c r="L305" t="str">
        <f t="shared" si="18"/>
        <v>Normal</v>
      </c>
    </row>
    <row r="306" spans="1:12" x14ac:dyDescent="0.25">
      <c r="A306" t="s">
        <v>394</v>
      </c>
      <c r="B306" t="s">
        <v>82</v>
      </c>
      <c r="C306" s="1">
        <v>45394</v>
      </c>
      <c r="D306">
        <v>98590</v>
      </c>
      <c r="E306" t="s">
        <v>32</v>
      </c>
      <c r="F306" t="s">
        <v>139</v>
      </c>
      <c r="G306" t="s">
        <v>34</v>
      </c>
      <c r="H306" t="s">
        <v>13</v>
      </c>
      <c r="I306" t="str">
        <f t="shared" si="19"/>
        <v>Friday</v>
      </c>
      <c r="J306" t="str">
        <f t="shared" si="16"/>
        <v>Weekday</v>
      </c>
      <c r="K306" t="str">
        <f t="shared" si="17"/>
        <v>High Value</v>
      </c>
      <c r="L306" t="str">
        <f t="shared" si="18"/>
        <v>Suspicious</v>
      </c>
    </row>
    <row r="307" spans="1:12" x14ac:dyDescent="0.25">
      <c r="A307" t="s">
        <v>395</v>
      </c>
      <c r="B307" t="s">
        <v>227</v>
      </c>
      <c r="C307" s="1">
        <v>45392</v>
      </c>
      <c r="D307">
        <v>57732</v>
      </c>
      <c r="E307" t="s">
        <v>21</v>
      </c>
      <c r="F307" t="s">
        <v>22</v>
      </c>
      <c r="G307" t="s">
        <v>12</v>
      </c>
      <c r="H307" t="s">
        <v>13</v>
      </c>
      <c r="I307" t="str">
        <f t="shared" si="19"/>
        <v>Wednesday</v>
      </c>
      <c r="J307" t="str">
        <f t="shared" si="16"/>
        <v>Weekday</v>
      </c>
      <c r="K307" t="str">
        <f t="shared" si="17"/>
        <v>High Value</v>
      </c>
      <c r="L307" t="str">
        <f t="shared" si="18"/>
        <v>Normal</v>
      </c>
    </row>
    <row r="308" spans="1:12" x14ac:dyDescent="0.25">
      <c r="A308" t="s">
        <v>396</v>
      </c>
      <c r="B308" t="s">
        <v>84</v>
      </c>
      <c r="C308" s="1">
        <v>45374</v>
      </c>
      <c r="D308">
        <v>48315</v>
      </c>
      <c r="E308" t="s">
        <v>16</v>
      </c>
      <c r="F308" t="s">
        <v>52</v>
      </c>
      <c r="G308" t="s">
        <v>43</v>
      </c>
      <c r="H308" t="s">
        <v>13</v>
      </c>
      <c r="I308" t="str">
        <f t="shared" si="19"/>
        <v>Saturday</v>
      </c>
      <c r="J308" t="str">
        <f t="shared" si="16"/>
        <v>Weekend</v>
      </c>
      <c r="K308" t="str">
        <f t="shared" si="17"/>
        <v>Normal</v>
      </c>
      <c r="L308" t="str">
        <f t="shared" si="18"/>
        <v>Normal</v>
      </c>
    </row>
    <row r="309" spans="1:12" x14ac:dyDescent="0.25">
      <c r="A309" t="s">
        <v>397</v>
      </c>
      <c r="B309" t="s">
        <v>245</v>
      </c>
      <c r="C309" s="1">
        <v>45378</v>
      </c>
      <c r="D309">
        <v>59272</v>
      </c>
      <c r="E309" t="s">
        <v>21</v>
      </c>
      <c r="F309" t="s">
        <v>46</v>
      </c>
      <c r="G309" t="s">
        <v>50</v>
      </c>
      <c r="H309" t="s">
        <v>26</v>
      </c>
      <c r="I309" t="str">
        <f t="shared" si="19"/>
        <v>Wednesday</v>
      </c>
      <c r="J309" t="str">
        <f t="shared" si="16"/>
        <v>Weekday</v>
      </c>
      <c r="K309" t="str">
        <f t="shared" si="17"/>
        <v>High Value</v>
      </c>
      <c r="L309" t="str">
        <f t="shared" si="18"/>
        <v>Normal</v>
      </c>
    </row>
    <row r="310" spans="1:12" x14ac:dyDescent="0.25">
      <c r="A310" t="s">
        <v>398</v>
      </c>
      <c r="B310" t="s">
        <v>88</v>
      </c>
      <c r="C310" s="1">
        <v>45309</v>
      </c>
      <c r="D310">
        <v>69697</v>
      </c>
      <c r="E310" t="s">
        <v>41</v>
      </c>
      <c r="F310" t="s">
        <v>61</v>
      </c>
      <c r="G310" t="s">
        <v>43</v>
      </c>
      <c r="H310" t="s">
        <v>26</v>
      </c>
      <c r="I310" t="str">
        <f t="shared" si="19"/>
        <v>Thursday</v>
      </c>
      <c r="J310" t="str">
        <f t="shared" si="16"/>
        <v>Weekday</v>
      </c>
      <c r="K310" t="str">
        <f t="shared" si="17"/>
        <v>High Value</v>
      </c>
      <c r="L310" t="str">
        <f t="shared" si="18"/>
        <v>Normal</v>
      </c>
    </row>
    <row r="311" spans="1:12" x14ac:dyDescent="0.25">
      <c r="A311" t="s">
        <v>399</v>
      </c>
      <c r="B311" t="s">
        <v>31</v>
      </c>
      <c r="C311" s="1">
        <v>45323</v>
      </c>
      <c r="D311">
        <v>15169</v>
      </c>
      <c r="E311" t="s">
        <v>10</v>
      </c>
      <c r="F311" t="s">
        <v>49</v>
      </c>
      <c r="G311" t="s">
        <v>25</v>
      </c>
      <c r="H311" t="s">
        <v>13</v>
      </c>
      <c r="I311" t="str">
        <f t="shared" si="19"/>
        <v>Thursday</v>
      </c>
      <c r="J311" t="str">
        <f t="shared" si="16"/>
        <v>Weekday</v>
      </c>
      <c r="K311" t="str">
        <f t="shared" si="17"/>
        <v>Normal</v>
      </c>
      <c r="L311" t="str">
        <f t="shared" si="18"/>
        <v>Normal</v>
      </c>
    </row>
    <row r="312" spans="1:12" x14ac:dyDescent="0.25">
      <c r="A312" t="s">
        <v>400</v>
      </c>
      <c r="B312" t="s">
        <v>91</v>
      </c>
      <c r="C312" s="1">
        <v>45341</v>
      </c>
      <c r="D312">
        <v>73919</v>
      </c>
      <c r="E312" t="s">
        <v>37</v>
      </c>
      <c r="F312" t="s">
        <v>58</v>
      </c>
      <c r="G312" t="s">
        <v>50</v>
      </c>
      <c r="H312" t="s">
        <v>26</v>
      </c>
      <c r="I312" t="str">
        <f t="shared" si="19"/>
        <v>Monday</v>
      </c>
      <c r="J312" t="str">
        <f t="shared" si="16"/>
        <v>Weekday</v>
      </c>
      <c r="K312" t="str">
        <f t="shared" si="17"/>
        <v>High Value</v>
      </c>
      <c r="L312" t="str">
        <f t="shared" si="18"/>
        <v>Normal</v>
      </c>
    </row>
    <row r="313" spans="1:12" x14ac:dyDescent="0.25">
      <c r="A313" t="s">
        <v>401</v>
      </c>
      <c r="B313" t="s">
        <v>28</v>
      </c>
      <c r="C313" s="1">
        <v>45319</v>
      </c>
      <c r="D313">
        <v>80499</v>
      </c>
      <c r="E313" t="s">
        <v>10</v>
      </c>
      <c r="F313" t="s">
        <v>11</v>
      </c>
      <c r="G313" t="s">
        <v>25</v>
      </c>
      <c r="H313" t="s">
        <v>26</v>
      </c>
      <c r="I313" t="str">
        <f t="shared" si="19"/>
        <v>Sunday</v>
      </c>
      <c r="J313" t="str">
        <f t="shared" si="16"/>
        <v>Weekend</v>
      </c>
      <c r="K313" t="str">
        <f t="shared" si="17"/>
        <v>High Value</v>
      </c>
      <c r="L313" t="str">
        <f t="shared" si="18"/>
        <v>Suspicious</v>
      </c>
    </row>
    <row r="314" spans="1:12" x14ac:dyDescent="0.25">
      <c r="A314" t="s">
        <v>402</v>
      </c>
      <c r="B314" t="s">
        <v>9</v>
      </c>
      <c r="C314" s="1">
        <v>45309</v>
      </c>
      <c r="D314">
        <v>112081</v>
      </c>
      <c r="E314" t="s">
        <v>16</v>
      </c>
      <c r="F314" t="s">
        <v>29</v>
      </c>
      <c r="G314" t="s">
        <v>43</v>
      </c>
      <c r="H314" t="s">
        <v>13</v>
      </c>
      <c r="I314" t="str">
        <f t="shared" si="19"/>
        <v>Thursday</v>
      </c>
      <c r="J314" t="str">
        <f t="shared" si="16"/>
        <v>Weekday</v>
      </c>
      <c r="K314" t="str">
        <f t="shared" si="17"/>
        <v>High Value</v>
      </c>
      <c r="L314" t="str">
        <f t="shared" si="18"/>
        <v>Suspicious</v>
      </c>
    </row>
    <row r="315" spans="1:12" x14ac:dyDescent="0.25">
      <c r="A315" t="s">
        <v>403</v>
      </c>
      <c r="B315" t="s">
        <v>28</v>
      </c>
      <c r="C315" s="1">
        <v>45303</v>
      </c>
      <c r="D315">
        <v>106535</v>
      </c>
      <c r="E315" t="s">
        <v>10</v>
      </c>
      <c r="F315" t="s">
        <v>68</v>
      </c>
      <c r="G315" t="s">
        <v>50</v>
      </c>
      <c r="H315" t="s">
        <v>26</v>
      </c>
      <c r="I315" t="str">
        <f t="shared" si="19"/>
        <v>Friday</v>
      </c>
      <c r="J315" t="str">
        <f t="shared" si="16"/>
        <v>Weekday</v>
      </c>
      <c r="K315" t="str">
        <f t="shared" si="17"/>
        <v>High Value</v>
      </c>
      <c r="L315" t="str">
        <f t="shared" si="18"/>
        <v>Suspicious</v>
      </c>
    </row>
    <row r="316" spans="1:12" x14ac:dyDescent="0.25">
      <c r="A316" t="s">
        <v>404</v>
      </c>
      <c r="B316" t="s">
        <v>48</v>
      </c>
      <c r="C316" s="1">
        <v>45362</v>
      </c>
      <c r="D316">
        <v>71363</v>
      </c>
      <c r="E316" t="s">
        <v>10</v>
      </c>
      <c r="F316" t="s">
        <v>11</v>
      </c>
      <c r="G316" t="s">
        <v>50</v>
      </c>
      <c r="H316" t="s">
        <v>13</v>
      </c>
      <c r="I316" t="str">
        <f t="shared" si="19"/>
        <v>Monday</v>
      </c>
      <c r="J316" t="str">
        <f t="shared" si="16"/>
        <v>Weekday</v>
      </c>
      <c r="K316" t="str">
        <f t="shared" si="17"/>
        <v>High Value</v>
      </c>
      <c r="L316" t="str">
        <f t="shared" si="18"/>
        <v>Normal</v>
      </c>
    </row>
    <row r="317" spans="1:12" x14ac:dyDescent="0.25">
      <c r="A317" t="s">
        <v>405</v>
      </c>
      <c r="B317" t="s">
        <v>125</v>
      </c>
      <c r="C317" s="1">
        <v>45410</v>
      </c>
      <c r="D317">
        <v>92079</v>
      </c>
      <c r="E317" t="s">
        <v>10</v>
      </c>
      <c r="F317" t="s">
        <v>68</v>
      </c>
      <c r="G317" t="s">
        <v>12</v>
      </c>
      <c r="H317" t="s">
        <v>26</v>
      </c>
      <c r="I317" t="str">
        <f t="shared" si="19"/>
        <v>Sunday</v>
      </c>
      <c r="J317" t="str">
        <f t="shared" si="16"/>
        <v>Weekend</v>
      </c>
      <c r="K317" t="str">
        <f t="shared" si="17"/>
        <v>High Value</v>
      </c>
      <c r="L317" t="str">
        <f t="shared" si="18"/>
        <v>Suspicious</v>
      </c>
    </row>
    <row r="318" spans="1:12" x14ac:dyDescent="0.25">
      <c r="A318" t="s">
        <v>406</v>
      </c>
      <c r="B318" t="s">
        <v>60</v>
      </c>
      <c r="C318" s="1">
        <v>45307</v>
      </c>
      <c r="D318">
        <v>26642</v>
      </c>
      <c r="E318" t="s">
        <v>21</v>
      </c>
      <c r="F318" t="s">
        <v>22</v>
      </c>
      <c r="G318" t="s">
        <v>12</v>
      </c>
      <c r="H318" t="s">
        <v>26</v>
      </c>
      <c r="I318" t="str">
        <f t="shared" si="19"/>
        <v>Tuesday</v>
      </c>
      <c r="J318" t="str">
        <f t="shared" si="16"/>
        <v>Weekday</v>
      </c>
      <c r="K318" t="str">
        <f t="shared" si="17"/>
        <v>Normal</v>
      </c>
      <c r="L318" t="str">
        <f t="shared" si="18"/>
        <v>Normal</v>
      </c>
    </row>
    <row r="319" spans="1:12" x14ac:dyDescent="0.25">
      <c r="A319" t="s">
        <v>407</v>
      </c>
      <c r="B319" t="s">
        <v>54</v>
      </c>
      <c r="C319" s="1">
        <v>45362</v>
      </c>
      <c r="D319">
        <v>75309</v>
      </c>
      <c r="E319" t="s">
        <v>41</v>
      </c>
      <c r="F319" t="s">
        <v>61</v>
      </c>
      <c r="G319" t="s">
        <v>43</v>
      </c>
      <c r="H319" t="s">
        <v>13</v>
      </c>
      <c r="I319" t="str">
        <f t="shared" si="19"/>
        <v>Monday</v>
      </c>
      <c r="J319" t="str">
        <f t="shared" si="16"/>
        <v>Weekday</v>
      </c>
      <c r="K319" t="str">
        <f t="shared" si="17"/>
        <v>High Value</v>
      </c>
      <c r="L319" t="str">
        <f t="shared" si="18"/>
        <v>Suspicious</v>
      </c>
    </row>
    <row r="320" spans="1:12" x14ac:dyDescent="0.25">
      <c r="A320" t="s">
        <v>408</v>
      </c>
      <c r="B320" t="s">
        <v>187</v>
      </c>
      <c r="C320" s="1">
        <v>45300</v>
      </c>
      <c r="D320">
        <v>40839</v>
      </c>
      <c r="E320" t="s">
        <v>21</v>
      </c>
      <c r="F320" t="s">
        <v>46</v>
      </c>
      <c r="G320" t="s">
        <v>25</v>
      </c>
      <c r="H320" t="s">
        <v>26</v>
      </c>
      <c r="I320" t="str">
        <f t="shared" si="19"/>
        <v>Tuesday</v>
      </c>
      <c r="J320" t="str">
        <f t="shared" si="16"/>
        <v>Weekday</v>
      </c>
      <c r="K320" t="str">
        <f t="shared" si="17"/>
        <v>Normal</v>
      </c>
      <c r="L320" t="str">
        <f t="shared" si="18"/>
        <v>Normal</v>
      </c>
    </row>
    <row r="321" spans="1:12" x14ac:dyDescent="0.25">
      <c r="A321" t="s">
        <v>409</v>
      </c>
      <c r="B321" t="s">
        <v>112</v>
      </c>
      <c r="C321" s="1">
        <v>45390</v>
      </c>
      <c r="D321">
        <v>53965</v>
      </c>
      <c r="E321" t="s">
        <v>21</v>
      </c>
      <c r="F321" t="s">
        <v>22</v>
      </c>
      <c r="G321" t="s">
        <v>12</v>
      </c>
      <c r="H321" t="s">
        <v>26</v>
      </c>
      <c r="I321" t="str">
        <f t="shared" si="19"/>
        <v>Monday</v>
      </c>
      <c r="J321" t="str">
        <f t="shared" si="16"/>
        <v>Weekday</v>
      </c>
      <c r="K321" t="str">
        <f t="shared" si="17"/>
        <v>High Value</v>
      </c>
      <c r="L321" t="str">
        <f t="shared" si="18"/>
        <v>Normal</v>
      </c>
    </row>
    <row r="322" spans="1:12" x14ac:dyDescent="0.25">
      <c r="A322" t="s">
        <v>410</v>
      </c>
      <c r="B322" t="s">
        <v>48</v>
      </c>
      <c r="C322" s="1">
        <v>45349</v>
      </c>
      <c r="D322">
        <v>61357</v>
      </c>
      <c r="E322" t="s">
        <v>10</v>
      </c>
      <c r="F322" t="s">
        <v>68</v>
      </c>
      <c r="G322" t="s">
        <v>18</v>
      </c>
      <c r="H322" t="s">
        <v>26</v>
      </c>
      <c r="I322" t="str">
        <f t="shared" si="19"/>
        <v>Tuesday</v>
      </c>
      <c r="J322" t="str">
        <f t="shared" si="16"/>
        <v>Weekday</v>
      </c>
      <c r="K322" t="str">
        <f t="shared" si="17"/>
        <v>High Value</v>
      </c>
      <c r="L322" t="str">
        <f t="shared" si="18"/>
        <v>Normal</v>
      </c>
    </row>
    <row r="323" spans="1:12" x14ac:dyDescent="0.25">
      <c r="A323" t="s">
        <v>411</v>
      </c>
      <c r="B323" t="s">
        <v>84</v>
      </c>
      <c r="C323" s="1">
        <v>45362</v>
      </c>
      <c r="D323">
        <v>84159</v>
      </c>
      <c r="E323" t="s">
        <v>16</v>
      </c>
      <c r="F323" t="s">
        <v>17</v>
      </c>
      <c r="G323" t="s">
        <v>12</v>
      </c>
      <c r="H323" t="s">
        <v>13</v>
      </c>
      <c r="I323" t="str">
        <f t="shared" si="19"/>
        <v>Monday</v>
      </c>
      <c r="J323" t="str">
        <f t="shared" ref="J323:J386" si="20">IF(OR(I323="Saturday",I323="Sunday"),"Weekend","Weekday")</f>
        <v>Weekday</v>
      </c>
      <c r="K323" t="str">
        <f t="shared" ref="K323:K386" si="21">IF(D323&gt;50000,"High Value","Normal")</f>
        <v>High Value</v>
      </c>
      <c r="L323" t="str">
        <f t="shared" ref="L323:L386" si="22">IF(D323&gt;75000,"Suspicious","Normal")</f>
        <v>Suspicious</v>
      </c>
    </row>
    <row r="324" spans="1:12" x14ac:dyDescent="0.25">
      <c r="A324" t="s">
        <v>412</v>
      </c>
      <c r="B324" t="s">
        <v>82</v>
      </c>
      <c r="C324" s="1">
        <v>45408</v>
      </c>
      <c r="D324">
        <v>114098</v>
      </c>
      <c r="E324" t="s">
        <v>37</v>
      </c>
      <c r="F324" t="s">
        <v>58</v>
      </c>
      <c r="G324" t="s">
        <v>34</v>
      </c>
      <c r="H324" t="s">
        <v>13</v>
      </c>
      <c r="I324" t="str">
        <f t="shared" si="19"/>
        <v>Friday</v>
      </c>
      <c r="J324" t="str">
        <f t="shared" si="20"/>
        <v>Weekday</v>
      </c>
      <c r="K324" t="str">
        <f t="shared" si="21"/>
        <v>High Value</v>
      </c>
      <c r="L324" t="str">
        <f t="shared" si="22"/>
        <v>Suspicious</v>
      </c>
    </row>
    <row r="325" spans="1:12" x14ac:dyDescent="0.25">
      <c r="A325" t="s">
        <v>413</v>
      </c>
      <c r="B325" t="s">
        <v>131</v>
      </c>
      <c r="C325" s="1">
        <v>45312</v>
      </c>
      <c r="D325">
        <v>42591</v>
      </c>
      <c r="E325" t="s">
        <v>32</v>
      </c>
      <c r="F325" t="s">
        <v>139</v>
      </c>
      <c r="G325" t="s">
        <v>50</v>
      </c>
      <c r="H325" t="s">
        <v>26</v>
      </c>
      <c r="I325" t="str">
        <f t="shared" ref="I325:I388" si="23">TEXT(C325,"dddd")</f>
        <v>Sunday</v>
      </c>
      <c r="J325" t="str">
        <f t="shared" si="20"/>
        <v>Weekend</v>
      </c>
      <c r="K325" t="str">
        <f t="shared" si="21"/>
        <v>Normal</v>
      </c>
      <c r="L325" t="str">
        <f t="shared" si="22"/>
        <v>Normal</v>
      </c>
    </row>
    <row r="326" spans="1:12" x14ac:dyDescent="0.25">
      <c r="A326" t="s">
        <v>414</v>
      </c>
      <c r="B326" t="s">
        <v>75</v>
      </c>
      <c r="C326" s="1">
        <v>45317</v>
      </c>
      <c r="D326">
        <v>83538</v>
      </c>
      <c r="E326" t="s">
        <v>41</v>
      </c>
      <c r="F326" t="s">
        <v>61</v>
      </c>
      <c r="G326" t="s">
        <v>12</v>
      </c>
      <c r="H326" t="s">
        <v>26</v>
      </c>
      <c r="I326" t="str">
        <f t="shared" si="23"/>
        <v>Friday</v>
      </c>
      <c r="J326" t="str">
        <f t="shared" si="20"/>
        <v>Weekday</v>
      </c>
      <c r="K326" t="str">
        <f t="shared" si="21"/>
        <v>High Value</v>
      </c>
      <c r="L326" t="str">
        <f t="shared" si="22"/>
        <v>Suspicious</v>
      </c>
    </row>
    <row r="327" spans="1:12" x14ac:dyDescent="0.25">
      <c r="A327" t="s">
        <v>415</v>
      </c>
      <c r="B327" t="s">
        <v>77</v>
      </c>
      <c r="C327" s="1">
        <v>45303</v>
      </c>
      <c r="D327">
        <v>66173</v>
      </c>
      <c r="E327" t="s">
        <v>21</v>
      </c>
      <c r="F327" t="s">
        <v>22</v>
      </c>
      <c r="G327" t="s">
        <v>18</v>
      </c>
      <c r="H327" t="s">
        <v>13</v>
      </c>
      <c r="I327" t="str">
        <f t="shared" si="23"/>
        <v>Friday</v>
      </c>
      <c r="J327" t="str">
        <f t="shared" si="20"/>
        <v>Weekday</v>
      </c>
      <c r="K327" t="str">
        <f t="shared" si="21"/>
        <v>High Value</v>
      </c>
      <c r="L327" t="str">
        <f t="shared" si="22"/>
        <v>Normal</v>
      </c>
    </row>
    <row r="328" spans="1:12" x14ac:dyDescent="0.25">
      <c r="A328" t="s">
        <v>416</v>
      </c>
      <c r="B328" t="s">
        <v>123</v>
      </c>
      <c r="C328" s="1">
        <v>45371</v>
      </c>
      <c r="D328">
        <v>94754</v>
      </c>
      <c r="E328" t="s">
        <v>16</v>
      </c>
      <c r="F328" t="s">
        <v>17</v>
      </c>
      <c r="G328" t="s">
        <v>50</v>
      </c>
      <c r="H328" t="s">
        <v>13</v>
      </c>
      <c r="I328" t="str">
        <f t="shared" si="23"/>
        <v>Wednesday</v>
      </c>
      <c r="J328" t="str">
        <f t="shared" si="20"/>
        <v>Weekday</v>
      </c>
      <c r="K328" t="str">
        <f t="shared" si="21"/>
        <v>High Value</v>
      </c>
      <c r="L328" t="str">
        <f t="shared" si="22"/>
        <v>Suspicious</v>
      </c>
    </row>
    <row r="329" spans="1:12" x14ac:dyDescent="0.25">
      <c r="A329" t="s">
        <v>417</v>
      </c>
      <c r="B329" t="s">
        <v>187</v>
      </c>
      <c r="C329" s="1">
        <v>45297</v>
      </c>
      <c r="D329">
        <v>84376</v>
      </c>
      <c r="E329" t="s">
        <v>41</v>
      </c>
      <c r="F329" t="s">
        <v>61</v>
      </c>
      <c r="G329" t="s">
        <v>25</v>
      </c>
      <c r="H329" t="s">
        <v>13</v>
      </c>
      <c r="I329" t="str">
        <f t="shared" si="23"/>
        <v>Saturday</v>
      </c>
      <c r="J329" t="str">
        <f t="shared" si="20"/>
        <v>Weekend</v>
      </c>
      <c r="K329" t="str">
        <f t="shared" si="21"/>
        <v>High Value</v>
      </c>
      <c r="L329" t="str">
        <f t="shared" si="22"/>
        <v>Suspicious</v>
      </c>
    </row>
    <row r="330" spans="1:12" x14ac:dyDescent="0.25">
      <c r="A330" t="s">
        <v>418</v>
      </c>
      <c r="B330" t="s">
        <v>112</v>
      </c>
      <c r="C330" s="1">
        <v>45371</v>
      </c>
      <c r="D330">
        <v>84053</v>
      </c>
      <c r="E330" t="s">
        <v>21</v>
      </c>
      <c r="F330" t="s">
        <v>22</v>
      </c>
      <c r="G330" t="s">
        <v>43</v>
      </c>
      <c r="H330" t="s">
        <v>26</v>
      </c>
      <c r="I330" t="str">
        <f t="shared" si="23"/>
        <v>Wednesday</v>
      </c>
      <c r="J330" t="str">
        <f t="shared" si="20"/>
        <v>Weekday</v>
      </c>
      <c r="K330" t="str">
        <f t="shared" si="21"/>
        <v>High Value</v>
      </c>
      <c r="L330" t="str">
        <f t="shared" si="22"/>
        <v>Suspicious</v>
      </c>
    </row>
    <row r="331" spans="1:12" x14ac:dyDescent="0.25">
      <c r="A331" t="s">
        <v>419</v>
      </c>
      <c r="B331" t="s">
        <v>94</v>
      </c>
      <c r="C331" s="1">
        <v>45353</v>
      </c>
      <c r="D331">
        <v>32396</v>
      </c>
      <c r="E331" t="s">
        <v>10</v>
      </c>
      <c r="F331" t="s">
        <v>68</v>
      </c>
      <c r="G331" t="s">
        <v>43</v>
      </c>
      <c r="H331" t="s">
        <v>26</v>
      </c>
      <c r="I331" t="str">
        <f t="shared" si="23"/>
        <v>Saturday</v>
      </c>
      <c r="J331" t="str">
        <f t="shared" si="20"/>
        <v>Weekend</v>
      </c>
      <c r="K331" t="str">
        <f t="shared" si="21"/>
        <v>Normal</v>
      </c>
      <c r="L331" t="str">
        <f t="shared" si="22"/>
        <v>Normal</v>
      </c>
    </row>
    <row r="332" spans="1:12" x14ac:dyDescent="0.25">
      <c r="A332" t="s">
        <v>420</v>
      </c>
      <c r="B332" t="s">
        <v>48</v>
      </c>
      <c r="C332" s="1">
        <v>45380</v>
      </c>
      <c r="D332">
        <v>8152</v>
      </c>
      <c r="E332" t="s">
        <v>37</v>
      </c>
      <c r="F332" t="s">
        <v>58</v>
      </c>
      <c r="G332" t="s">
        <v>43</v>
      </c>
      <c r="H332" t="s">
        <v>26</v>
      </c>
      <c r="I332" t="str">
        <f t="shared" si="23"/>
        <v>Friday</v>
      </c>
      <c r="J332" t="str">
        <f t="shared" si="20"/>
        <v>Weekday</v>
      </c>
      <c r="K332" t="str">
        <f t="shared" si="21"/>
        <v>Normal</v>
      </c>
      <c r="L332" t="str">
        <f t="shared" si="22"/>
        <v>Normal</v>
      </c>
    </row>
    <row r="333" spans="1:12" x14ac:dyDescent="0.25">
      <c r="A333" t="s">
        <v>421</v>
      </c>
      <c r="B333" t="s">
        <v>105</v>
      </c>
      <c r="C333" s="1">
        <v>45318</v>
      </c>
      <c r="D333">
        <v>44889</v>
      </c>
      <c r="E333" t="s">
        <v>37</v>
      </c>
      <c r="F333" t="s">
        <v>58</v>
      </c>
      <c r="G333" t="s">
        <v>50</v>
      </c>
      <c r="H333" t="s">
        <v>26</v>
      </c>
      <c r="I333" t="str">
        <f t="shared" si="23"/>
        <v>Saturday</v>
      </c>
      <c r="J333" t="str">
        <f t="shared" si="20"/>
        <v>Weekend</v>
      </c>
      <c r="K333" t="str">
        <f t="shared" si="21"/>
        <v>Normal</v>
      </c>
      <c r="L333" t="str">
        <f t="shared" si="22"/>
        <v>Normal</v>
      </c>
    </row>
    <row r="334" spans="1:12" x14ac:dyDescent="0.25">
      <c r="A334" t="s">
        <v>422</v>
      </c>
      <c r="B334" t="s">
        <v>265</v>
      </c>
      <c r="C334" s="1">
        <v>45343</v>
      </c>
      <c r="D334">
        <v>17439</v>
      </c>
      <c r="E334" t="s">
        <v>10</v>
      </c>
      <c r="F334" t="s">
        <v>11</v>
      </c>
      <c r="G334" t="s">
        <v>18</v>
      </c>
      <c r="H334" t="s">
        <v>13</v>
      </c>
      <c r="I334" t="str">
        <f t="shared" si="23"/>
        <v>Wednesday</v>
      </c>
      <c r="J334" t="str">
        <f t="shared" si="20"/>
        <v>Weekday</v>
      </c>
      <c r="K334" t="str">
        <f t="shared" si="21"/>
        <v>Normal</v>
      </c>
      <c r="L334" t="str">
        <f t="shared" si="22"/>
        <v>Normal</v>
      </c>
    </row>
    <row r="335" spans="1:12" x14ac:dyDescent="0.25">
      <c r="A335" t="s">
        <v>423</v>
      </c>
      <c r="B335" t="s">
        <v>109</v>
      </c>
      <c r="C335" s="1">
        <v>45351</v>
      </c>
      <c r="D335">
        <v>16359</v>
      </c>
      <c r="E335" t="s">
        <v>32</v>
      </c>
      <c r="F335" t="s">
        <v>33</v>
      </c>
      <c r="G335" t="s">
        <v>43</v>
      </c>
      <c r="H335" t="s">
        <v>13</v>
      </c>
      <c r="I335" t="str">
        <f t="shared" si="23"/>
        <v>Thursday</v>
      </c>
      <c r="J335" t="str">
        <f t="shared" si="20"/>
        <v>Weekday</v>
      </c>
      <c r="K335" t="str">
        <f t="shared" si="21"/>
        <v>Normal</v>
      </c>
      <c r="L335" t="str">
        <f t="shared" si="22"/>
        <v>Normal</v>
      </c>
    </row>
    <row r="336" spans="1:12" x14ac:dyDescent="0.25">
      <c r="A336" t="s">
        <v>424</v>
      </c>
      <c r="B336" t="s">
        <v>36</v>
      </c>
      <c r="C336" s="1">
        <v>45298</v>
      </c>
      <c r="D336">
        <v>38338</v>
      </c>
      <c r="E336" t="s">
        <v>16</v>
      </c>
      <c r="F336" t="s">
        <v>52</v>
      </c>
      <c r="G336" t="s">
        <v>18</v>
      </c>
      <c r="H336" t="s">
        <v>26</v>
      </c>
      <c r="I336" t="str">
        <f t="shared" si="23"/>
        <v>Sunday</v>
      </c>
      <c r="J336" t="str">
        <f t="shared" si="20"/>
        <v>Weekend</v>
      </c>
      <c r="K336" t="str">
        <f t="shared" si="21"/>
        <v>Normal</v>
      </c>
      <c r="L336" t="str">
        <f t="shared" si="22"/>
        <v>Normal</v>
      </c>
    </row>
    <row r="337" spans="1:12" x14ac:dyDescent="0.25">
      <c r="A337" t="s">
        <v>425</v>
      </c>
      <c r="B337" t="s">
        <v>131</v>
      </c>
      <c r="C337" s="1">
        <v>45396</v>
      </c>
      <c r="D337">
        <v>43217</v>
      </c>
      <c r="E337" t="s">
        <v>16</v>
      </c>
      <c r="F337" t="s">
        <v>17</v>
      </c>
      <c r="G337" t="s">
        <v>25</v>
      </c>
      <c r="H337" t="s">
        <v>26</v>
      </c>
      <c r="I337" t="str">
        <f t="shared" si="23"/>
        <v>Sunday</v>
      </c>
      <c r="J337" t="str">
        <f t="shared" si="20"/>
        <v>Weekend</v>
      </c>
      <c r="K337" t="str">
        <f t="shared" si="21"/>
        <v>Normal</v>
      </c>
      <c r="L337" t="str">
        <f t="shared" si="22"/>
        <v>Normal</v>
      </c>
    </row>
    <row r="338" spans="1:12" x14ac:dyDescent="0.25">
      <c r="A338" t="s">
        <v>426</v>
      </c>
      <c r="B338" t="s">
        <v>72</v>
      </c>
      <c r="C338" s="1">
        <v>45312</v>
      </c>
      <c r="D338">
        <v>65608</v>
      </c>
      <c r="E338" t="s">
        <v>16</v>
      </c>
      <c r="F338" t="s">
        <v>17</v>
      </c>
      <c r="G338" t="s">
        <v>43</v>
      </c>
      <c r="H338" t="s">
        <v>26</v>
      </c>
      <c r="I338" t="str">
        <f t="shared" si="23"/>
        <v>Sunday</v>
      </c>
      <c r="J338" t="str">
        <f t="shared" si="20"/>
        <v>Weekend</v>
      </c>
      <c r="K338" t="str">
        <f t="shared" si="21"/>
        <v>High Value</v>
      </c>
      <c r="L338" t="str">
        <f t="shared" si="22"/>
        <v>Normal</v>
      </c>
    </row>
    <row r="339" spans="1:12" x14ac:dyDescent="0.25">
      <c r="A339" t="s">
        <v>427</v>
      </c>
      <c r="B339" t="s">
        <v>136</v>
      </c>
      <c r="C339" s="1">
        <v>45294</v>
      </c>
      <c r="D339">
        <v>12102</v>
      </c>
      <c r="E339" t="s">
        <v>32</v>
      </c>
      <c r="F339" t="s">
        <v>92</v>
      </c>
      <c r="G339" t="s">
        <v>18</v>
      </c>
      <c r="H339" t="s">
        <v>26</v>
      </c>
      <c r="I339" t="str">
        <f t="shared" si="23"/>
        <v>Wednesday</v>
      </c>
      <c r="J339" t="str">
        <f t="shared" si="20"/>
        <v>Weekday</v>
      </c>
      <c r="K339" t="str">
        <f t="shared" si="21"/>
        <v>Normal</v>
      </c>
      <c r="L339" t="str">
        <f t="shared" si="22"/>
        <v>Normal</v>
      </c>
    </row>
    <row r="340" spans="1:12" x14ac:dyDescent="0.25">
      <c r="A340" t="s">
        <v>428</v>
      </c>
      <c r="B340" t="s">
        <v>63</v>
      </c>
      <c r="C340" s="1">
        <v>45366</v>
      </c>
      <c r="D340">
        <v>46554</v>
      </c>
      <c r="E340" t="s">
        <v>16</v>
      </c>
      <c r="F340" t="s">
        <v>29</v>
      </c>
      <c r="G340" t="s">
        <v>34</v>
      </c>
      <c r="H340" t="s">
        <v>26</v>
      </c>
      <c r="I340" t="str">
        <f t="shared" si="23"/>
        <v>Friday</v>
      </c>
      <c r="J340" t="str">
        <f t="shared" si="20"/>
        <v>Weekday</v>
      </c>
      <c r="K340" t="str">
        <f t="shared" si="21"/>
        <v>Normal</v>
      </c>
      <c r="L340" t="str">
        <f t="shared" si="22"/>
        <v>Normal</v>
      </c>
    </row>
    <row r="341" spans="1:12" x14ac:dyDescent="0.25">
      <c r="A341" t="s">
        <v>429</v>
      </c>
      <c r="B341" t="s">
        <v>24</v>
      </c>
      <c r="C341" s="1">
        <v>45404</v>
      </c>
      <c r="D341">
        <v>110773</v>
      </c>
      <c r="E341" t="s">
        <v>37</v>
      </c>
      <c r="F341" t="s">
        <v>38</v>
      </c>
      <c r="G341" t="s">
        <v>50</v>
      </c>
      <c r="H341" t="s">
        <v>13</v>
      </c>
      <c r="I341" t="str">
        <f t="shared" si="23"/>
        <v>Monday</v>
      </c>
      <c r="J341" t="str">
        <f t="shared" si="20"/>
        <v>Weekday</v>
      </c>
      <c r="K341" t="str">
        <f t="shared" si="21"/>
        <v>High Value</v>
      </c>
      <c r="L341" t="str">
        <f t="shared" si="22"/>
        <v>Suspicious</v>
      </c>
    </row>
    <row r="342" spans="1:12" x14ac:dyDescent="0.25">
      <c r="A342" t="s">
        <v>430</v>
      </c>
      <c r="B342" t="s">
        <v>20</v>
      </c>
      <c r="C342" s="1">
        <v>45309</v>
      </c>
      <c r="D342">
        <v>115965</v>
      </c>
      <c r="E342" t="s">
        <v>41</v>
      </c>
      <c r="F342" t="s">
        <v>61</v>
      </c>
      <c r="G342" t="s">
        <v>25</v>
      </c>
      <c r="H342" t="s">
        <v>26</v>
      </c>
      <c r="I342" t="str">
        <f t="shared" si="23"/>
        <v>Thursday</v>
      </c>
      <c r="J342" t="str">
        <f t="shared" si="20"/>
        <v>Weekday</v>
      </c>
      <c r="K342" t="str">
        <f t="shared" si="21"/>
        <v>High Value</v>
      </c>
      <c r="L342" t="str">
        <f t="shared" si="22"/>
        <v>Suspicious</v>
      </c>
    </row>
    <row r="343" spans="1:12" x14ac:dyDescent="0.25">
      <c r="A343" t="s">
        <v>431</v>
      </c>
      <c r="B343" t="s">
        <v>54</v>
      </c>
      <c r="C343" s="1">
        <v>45297</v>
      </c>
      <c r="D343">
        <v>52805</v>
      </c>
      <c r="E343" t="s">
        <v>37</v>
      </c>
      <c r="F343" t="s">
        <v>58</v>
      </c>
      <c r="G343" t="s">
        <v>18</v>
      </c>
      <c r="H343" t="s">
        <v>13</v>
      </c>
      <c r="I343" t="str">
        <f t="shared" si="23"/>
        <v>Saturday</v>
      </c>
      <c r="J343" t="str">
        <f t="shared" si="20"/>
        <v>Weekend</v>
      </c>
      <c r="K343" t="str">
        <f t="shared" si="21"/>
        <v>High Value</v>
      </c>
      <c r="L343" t="str">
        <f t="shared" si="22"/>
        <v>Normal</v>
      </c>
    </row>
    <row r="344" spans="1:12" x14ac:dyDescent="0.25">
      <c r="A344" t="s">
        <v>432</v>
      </c>
      <c r="B344" t="s">
        <v>67</v>
      </c>
      <c r="C344" s="1">
        <v>45328</v>
      </c>
      <c r="D344">
        <v>9937</v>
      </c>
      <c r="E344" t="s">
        <v>32</v>
      </c>
      <c r="F344" t="s">
        <v>92</v>
      </c>
      <c r="G344" t="s">
        <v>18</v>
      </c>
      <c r="H344" t="s">
        <v>26</v>
      </c>
      <c r="I344" t="str">
        <f t="shared" si="23"/>
        <v>Tuesday</v>
      </c>
      <c r="J344" t="str">
        <f t="shared" si="20"/>
        <v>Weekday</v>
      </c>
      <c r="K344" t="str">
        <f t="shared" si="21"/>
        <v>Normal</v>
      </c>
      <c r="L344" t="str">
        <f t="shared" si="22"/>
        <v>Normal</v>
      </c>
    </row>
    <row r="345" spans="1:12" x14ac:dyDescent="0.25">
      <c r="A345" t="s">
        <v>433</v>
      </c>
      <c r="B345" t="s">
        <v>31</v>
      </c>
      <c r="C345" s="1">
        <v>45397</v>
      </c>
      <c r="D345">
        <v>81989</v>
      </c>
      <c r="E345" t="s">
        <v>21</v>
      </c>
      <c r="F345" t="s">
        <v>22</v>
      </c>
      <c r="G345" t="s">
        <v>12</v>
      </c>
      <c r="H345" t="s">
        <v>13</v>
      </c>
      <c r="I345" t="str">
        <f t="shared" si="23"/>
        <v>Monday</v>
      </c>
      <c r="J345" t="str">
        <f t="shared" si="20"/>
        <v>Weekday</v>
      </c>
      <c r="K345" t="str">
        <f t="shared" si="21"/>
        <v>High Value</v>
      </c>
      <c r="L345" t="str">
        <f t="shared" si="22"/>
        <v>Suspicious</v>
      </c>
    </row>
    <row r="346" spans="1:12" x14ac:dyDescent="0.25">
      <c r="A346" t="s">
        <v>434</v>
      </c>
      <c r="B346" t="s">
        <v>54</v>
      </c>
      <c r="C346" s="1">
        <v>45393</v>
      </c>
      <c r="D346">
        <v>44744</v>
      </c>
      <c r="E346" t="s">
        <v>37</v>
      </c>
      <c r="F346" t="s">
        <v>38</v>
      </c>
      <c r="G346" t="s">
        <v>12</v>
      </c>
      <c r="H346" t="s">
        <v>13</v>
      </c>
      <c r="I346" t="str">
        <f t="shared" si="23"/>
        <v>Thursday</v>
      </c>
      <c r="J346" t="str">
        <f t="shared" si="20"/>
        <v>Weekday</v>
      </c>
      <c r="K346" t="str">
        <f t="shared" si="21"/>
        <v>Normal</v>
      </c>
      <c r="L346" t="str">
        <f t="shared" si="22"/>
        <v>Normal</v>
      </c>
    </row>
    <row r="347" spans="1:12" x14ac:dyDescent="0.25">
      <c r="A347" t="s">
        <v>435</v>
      </c>
      <c r="B347" t="s">
        <v>82</v>
      </c>
      <c r="C347" s="1">
        <v>45343</v>
      </c>
      <c r="D347">
        <v>65846</v>
      </c>
      <c r="E347" t="s">
        <v>21</v>
      </c>
      <c r="F347" t="s">
        <v>22</v>
      </c>
      <c r="G347" t="s">
        <v>34</v>
      </c>
      <c r="H347" t="s">
        <v>13</v>
      </c>
      <c r="I347" t="str">
        <f t="shared" si="23"/>
        <v>Wednesday</v>
      </c>
      <c r="J347" t="str">
        <f t="shared" si="20"/>
        <v>Weekday</v>
      </c>
      <c r="K347" t="str">
        <f t="shared" si="21"/>
        <v>High Value</v>
      </c>
      <c r="L347" t="str">
        <f t="shared" si="22"/>
        <v>Normal</v>
      </c>
    </row>
    <row r="348" spans="1:12" x14ac:dyDescent="0.25">
      <c r="A348" t="s">
        <v>436</v>
      </c>
      <c r="B348" t="s">
        <v>125</v>
      </c>
      <c r="C348" s="1">
        <v>45334</v>
      </c>
      <c r="D348">
        <v>105677</v>
      </c>
      <c r="E348" t="s">
        <v>16</v>
      </c>
      <c r="F348" t="s">
        <v>52</v>
      </c>
      <c r="G348" t="s">
        <v>18</v>
      </c>
      <c r="H348" t="s">
        <v>26</v>
      </c>
      <c r="I348" t="str">
        <f t="shared" si="23"/>
        <v>Monday</v>
      </c>
      <c r="J348" t="str">
        <f t="shared" si="20"/>
        <v>Weekday</v>
      </c>
      <c r="K348" t="str">
        <f t="shared" si="21"/>
        <v>High Value</v>
      </c>
      <c r="L348" t="str">
        <f t="shared" si="22"/>
        <v>Suspicious</v>
      </c>
    </row>
    <row r="349" spans="1:12" x14ac:dyDescent="0.25">
      <c r="A349" t="s">
        <v>437</v>
      </c>
      <c r="B349" t="s">
        <v>24</v>
      </c>
      <c r="C349" s="1">
        <v>45406</v>
      </c>
      <c r="D349">
        <v>67868</v>
      </c>
      <c r="E349" t="s">
        <v>16</v>
      </c>
      <c r="F349" t="s">
        <v>29</v>
      </c>
      <c r="G349" t="s">
        <v>50</v>
      </c>
      <c r="H349" t="s">
        <v>26</v>
      </c>
      <c r="I349" t="str">
        <f t="shared" si="23"/>
        <v>Wednesday</v>
      </c>
      <c r="J349" t="str">
        <f t="shared" si="20"/>
        <v>Weekday</v>
      </c>
      <c r="K349" t="str">
        <f t="shared" si="21"/>
        <v>High Value</v>
      </c>
      <c r="L349" t="str">
        <f t="shared" si="22"/>
        <v>Normal</v>
      </c>
    </row>
    <row r="350" spans="1:12" x14ac:dyDescent="0.25">
      <c r="A350" t="s">
        <v>438</v>
      </c>
      <c r="B350" t="s">
        <v>70</v>
      </c>
      <c r="C350" s="1">
        <v>45370</v>
      </c>
      <c r="D350">
        <v>97204</v>
      </c>
      <c r="E350" t="s">
        <v>16</v>
      </c>
      <c r="F350" t="s">
        <v>52</v>
      </c>
      <c r="G350" t="s">
        <v>18</v>
      </c>
      <c r="H350" t="s">
        <v>26</v>
      </c>
      <c r="I350" t="str">
        <f t="shared" si="23"/>
        <v>Tuesday</v>
      </c>
      <c r="J350" t="str">
        <f t="shared" si="20"/>
        <v>Weekday</v>
      </c>
      <c r="K350" t="str">
        <f t="shared" si="21"/>
        <v>High Value</v>
      </c>
      <c r="L350" t="str">
        <f t="shared" si="22"/>
        <v>Suspicious</v>
      </c>
    </row>
    <row r="351" spans="1:12" x14ac:dyDescent="0.25">
      <c r="A351" t="s">
        <v>439</v>
      </c>
      <c r="B351" t="s">
        <v>82</v>
      </c>
      <c r="C351" s="1">
        <v>45360</v>
      </c>
      <c r="D351">
        <v>64505</v>
      </c>
      <c r="E351" t="s">
        <v>21</v>
      </c>
      <c r="F351" t="s">
        <v>46</v>
      </c>
      <c r="G351" t="s">
        <v>43</v>
      </c>
      <c r="H351" t="s">
        <v>13</v>
      </c>
      <c r="I351" t="str">
        <f t="shared" si="23"/>
        <v>Saturday</v>
      </c>
      <c r="J351" t="str">
        <f t="shared" si="20"/>
        <v>Weekend</v>
      </c>
      <c r="K351" t="str">
        <f t="shared" si="21"/>
        <v>High Value</v>
      </c>
      <c r="L351" t="str">
        <f t="shared" si="22"/>
        <v>Normal</v>
      </c>
    </row>
    <row r="352" spans="1:12" x14ac:dyDescent="0.25">
      <c r="A352" t="s">
        <v>440</v>
      </c>
      <c r="B352" t="s">
        <v>249</v>
      </c>
      <c r="C352" s="1">
        <v>45378</v>
      </c>
      <c r="D352">
        <v>14666</v>
      </c>
      <c r="E352" t="s">
        <v>32</v>
      </c>
      <c r="F352" t="s">
        <v>92</v>
      </c>
      <c r="G352" t="s">
        <v>18</v>
      </c>
      <c r="H352" t="s">
        <v>26</v>
      </c>
      <c r="I352" t="str">
        <f t="shared" si="23"/>
        <v>Wednesday</v>
      </c>
      <c r="J352" t="str">
        <f t="shared" si="20"/>
        <v>Weekday</v>
      </c>
      <c r="K352" t="str">
        <f t="shared" si="21"/>
        <v>Normal</v>
      </c>
      <c r="L352" t="str">
        <f t="shared" si="22"/>
        <v>Normal</v>
      </c>
    </row>
    <row r="353" spans="1:12" x14ac:dyDescent="0.25">
      <c r="A353" t="s">
        <v>441</v>
      </c>
      <c r="B353" t="s">
        <v>116</v>
      </c>
      <c r="C353" s="1">
        <v>45372</v>
      </c>
      <c r="D353">
        <v>3792</v>
      </c>
      <c r="E353" t="s">
        <v>10</v>
      </c>
      <c r="F353" t="s">
        <v>68</v>
      </c>
      <c r="G353" t="s">
        <v>43</v>
      </c>
      <c r="H353" t="s">
        <v>26</v>
      </c>
      <c r="I353" t="str">
        <f t="shared" si="23"/>
        <v>Thursday</v>
      </c>
      <c r="J353" t="str">
        <f t="shared" si="20"/>
        <v>Weekday</v>
      </c>
      <c r="K353" t="str">
        <f t="shared" si="21"/>
        <v>Normal</v>
      </c>
      <c r="L353" t="str">
        <f t="shared" si="22"/>
        <v>Normal</v>
      </c>
    </row>
    <row r="354" spans="1:12" x14ac:dyDescent="0.25">
      <c r="A354" t="s">
        <v>442</v>
      </c>
      <c r="B354" t="s">
        <v>84</v>
      </c>
      <c r="C354" s="1">
        <v>45366</v>
      </c>
      <c r="D354">
        <v>76011</v>
      </c>
      <c r="E354" t="s">
        <v>10</v>
      </c>
      <c r="F354" t="s">
        <v>49</v>
      </c>
      <c r="G354" t="s">
        <v>25</v>
      </c>
      <c r="H354" t="s">
        <v>13</v>
      </c>
      <c r="I354" t="str">
        <f t="shared" si="23"/>
        <v>Friday</v>
      </c>
      <c r="J354" t="str">
        <f t="shared" si="20"/>
        <v>Weekday</v>
      </c>
      <c r="K354" t="str">
        <f t="shared" si="21"/>
        <v>High Value</v>
      </c>
      <c r="L354" t="str">
        <f t="shared" si="22"/>
        <v>Suspicious</v>
      </c>
    </row>
    <row r="355" spans="1:12" x14ac:dyDescent="0.25">
      <c r="A355" t="s">
        <v>443</v>
      </c>
      <c r="B355" t="s">
        <v>206</v>
      </c>
      <c r="C355" s="1">
        <v>45313</v>
      </c>
      <c r="D355">
        <v>69012</v>
      </c>
      <c r="E355" t="s">
        <v>21</v>
      </c>
      <c r="F355" t="s">
        <v>46</v>
      </c>
      <c r="G355" t="s">
        <v>12</v>
      </c>
      <c r="H355" t="s">
        <v>13</v>
      </c>
      <c r="I355" t="str">
        <f t="shared" si="23"/>
        <v>Monday</v>
      </c>
      <c r="J355" t="str">
        <f t="shared" si="20"/>
        <v>Weekday</v>
      </c>
      <c r="K355" t="str">
        <f t="shared" si="21"/>
        <v>High Value</v>
      </c>
      <c r="L355" t="str">
        <f t="shared" si="22"/>
        <v>Normal</v>
      </c>
    </row>
    <row r="356" spans="1:12" x14ac:dyDescent="0.25">
      <c r="A356" t="s">
        <v>444</v>
      </c>
      <c r="B356" t="s">
        <v>88</v>
      </c>
      <c r="C356" s="1">
        <v>45381</v>
      </c>
      <c r="D356">
        <v>14704</v>
      </c>
      <c r="E356" t="s">
        <v>41</v>
      </c>
      <c r="F356" t="s">
        <v>98</v>
      </c>
      <c r="G356" t="s">
        <v>34</v>
      </c>
      <c r="H356" t="s">
        <v>26</v>
      </c>
      <c r="I356" t="str">
        <f t="shared" si="23"/>
        <v>Saturday</v>
      </c>
      <c r="J356" t="str">
        <f t="shared" si="20"/>
        <v>Weekend</v>
      </c>
      <c r="K356" t="str">
        <f t="shared" si="21"/>
        <v>Normal</v>
      </c>
      <c r="L356" t="str">
        <f t="shared" si="22"/>
        <v>Normal</v>
      </c>
    </row>
    <row r="357" spans="1:12" x14ac:dyDescent="0.25">
      <c r="A357" t="s">
        <v>445</v>
      </c>
      <c r="B357" t="s">
        <v>112</v>
      </c>
      <c r="C357" s="1">
        <v>45311</v>
      </c>
      <c r="D357">
        <v>54427</v>
      </c>
      <c r="E357" t="s">
        <v>32</v>
      </c>
      <c r="F357" t="s">
        <v>139</v>
      </c>
      <c r="G357" t="s">
        <v>43</v>
      </c>
      <c r="H357" t="s">
        <v>26</v>
      </c>
      <c r="I357" t="str">
        <f t="shared" si="23"/>
        <v>Saturday</v>
      </c>
      <c r="J357" t="str">
        <f t="shared" si="20"/>
        <v>Weekend</v>
      </c>
      <c r="K357" t="str">
        <f t="shared" si="21"/>
        <v>High Value</v>
      </c>
      <c r="L357" t="str">
        <f t="shared" si="22"/>
        <v>Normal</v>
      </c>
    </row>
    <row r="358" spans="1:12" x14ac:dyDescent="0.25">
      <c r="A358" t="s">
        <v>446</v>
      </c>
      <c r="B358" t="s">
        <v>40</v>
      </c>
      <c r="C358" s="1">
        <v>45299</v>
      </c>
      <c r="D358">
        <v>92807</v>
      </c>
      <c r="E358" t="s">
        <v>10</v>
      </c>
      <c r="F358" t="s">
        <v>49</v>
      </c>
      <c r="G358" t="s">
        <v>18</v>
      </c>
      <c r="H358" t="s">
        <v>13</v>
      </c>
      <c r="I358" t="str">
        <f t="shared" si="23"/>
        <v>Monday</v>
      </c>
      <c r="J358" t="str">
        <f t="shared" si="20"/>
        <v>Weekday</v>
      </c>
      <c r="K358" t="str">
        <f t="shared" si="21"/>
        <v>High Value</v>
      </c>
      <c r="L358" t="str">
        <f t="shared" si="22"/>
        <v>Suspicious</v>
      </c>
    </row>
    <row r="359" spans="1:12" x14ac:dyDescent="0.25">
      <c r="A359" t="s">
        <v>447</v>
      </c>
      <c r="B359" t="s">
        <v>175</v>
      </c>
      <c r="C359" s="1">
        <v>45376</v>
      </c>
      <c r="D359">
        <v>63001</v>
      </c>
      <c r="E359" t="s">
        <v>21</v>
      </c>
      <c r="F359" t="s">
        <v>46</v>
      </c>
      <c r="G359" t="s">
        <v>50</v>
      </c>
      <c r="H359" t="s">
        <v>13</v>
      </c>
      <c r="I359" t="str">
        <f t="shared" si="23"/>
        <v>Monday</v>
      </c>
      <c r="J359" t="str">
        <f t="shared" si="20"/>
        <v>Weekday</v>
      </c>
      <c r="K359" t="str">
        <f t="shared" si="21"/>
        <v>High Value</v>
      </c>
      <c r="L359" t="str">
        <f t="shared" si="22"/>
        <v>Normal</v>
      </c>
    </row>
    <row r="360" spans="1:12" x14ac:dyDescent="0.25">
      <c r="A360" t="s">
        <v>448</v>
      </c>
      <c r="B360" t="s">
        <v>77</v>
      </c>
      <c r="C360" s="1">
        <v>45335</v>
      </c>
      <c r="D360">
        <v>71901</v>
      </c>
      <c r="E360" t="s">
        <v>37</v>
      </c>
      <c r="F360" t="s">
        <v>38</v>
      </c>
      <c r="G360" t="s">
        <v>25</v>
      </c>
      <c r="H360" t="s">
        <v>26</v>
      </c>
      <c r="I360" t="str">
        <f t="shared" si="23"/>
        <v>Tuesday</v>
      </c>
      <c r="J360" t="str">
        <f t="shared" si="20"/>
        <v>Weekday</v>
      </c>
      <c r="K360" t="str">
        <f t="shared" si="21"/>
        <v>High Value</v>
      </c>
      <c r="L360" t="str">
        <f t="shared" si="22"/>
        <v>Normal</v>
      </c>
    </row>
    <row r="361" spans="1:12" x14ac:dyDescent="0.25">
      <c r="A361" t="s">
        <v>449</v>
      </c>
      <c r="B361" t="s">
        <v>206</v>
      </c>
      <c r="C361" s="1">
        <v>45316</v>
      </c>
      <c r="D361">
        <v>32611</v>
      </c>
      <c r="E361" t="s">
        <v>21</v>
      </c>
      <c r="F361" t="s">
        <v>46</v>
      </c>
      <c r="G361" t="s">
        <v>18</v>
      </c>
      <c r="H361" t="s">
        <v>26</v>
      </c>
      <c r="I361" t="str">
        <f t="shared" si="23"/>
        <v>Thursday</v>
      </c>
      <c r="J361" t="str">
        <f t="shared" si="20"/>
        <v>Weekday</v>
      </c>
      <c r="K361" t="str">
        <f t="shared" si="21"/>
        <v>Normal</v>
      </c>
      <c r="L361" t="str">
        <f t="shared" si="22"/>
        <v>Normal</v>
      </c>
    </row>
    <row r="362" spans="1:12" x14ac:dyDescent="0.25">
      <c r="A362" t="s">
        <v>450</v>
      </c>
      <c r="B362" t="s">
        <v>94</v>
      </c>
      <c r="C362" s="1">
        <v>45390</v>
      </c>
      <c r="D362">
        <v>38180</v>
      </c>
      <c r="E362" t="s">
        <v>16</v>
      </c>
      <c r="F362" t="s">
        <v>17</v>
      </c>
      <c r="G362" t="s">
        <v>12</v>
      </c>
      <c r="H362" t="s">
        <v>26</v>
      </c>
      <c r="I362" t="str">
        <f t="shared" si="23"/>
        <v>Monday</v>
      </c>
      <c r="J362" t="str">
        <f t="shared" si="20"/>
        <v>Weekday</v>
      </c>
      <c r="K362" t="str">
        <f t="shared" si="21"/>
        <v>Normal</v>
      </c>
      <c r="L362" t="str">
        <f t="shared" si="22"/>
        <v>Normal</v>
      </c>
    </row>
    <row r="363" spans="1:12" x14ac:dyDescent="0.25">
      <c r="A363" t="s">
        <v>451</v>
      </c>
      <c r="B363" t="s">
        <v>206</v>
      </c>
      <c r="C363" s="1">
        <v>45336</v>
      </c>
      <c r="D363">
        <v>73764</v>
      </c>
      <c r="E363" t="s">
        <v>32</v>
      </c>
      <c r="F363" t="s">
        <v>33</v>
      </c>
      <c r="G363" t="s">
        <v>50</v>
      </c>
      <c r="H363" t="s">
        <v>13</v>
      </c>
      <c r="I363" t="str">
        <f t="shared" si="23"/>
        <v>Wednesday</v>
      </c>
      <c r="J363" t="str">
        <f t="shared" si="20"/>
        <v>Weekday</v>
      </c>
      <c r="K363" t="str">
        <f t="shared" si="21"/>
        <v>High Value</v>
      </c>
      <c r="L363" t="str">
        <f t="shared" si="22"/>
        <v>Normal</v>
      </c>
    </row>
    <row r="364" spans="1:12" x14ac:dyDescent="0.25">
      <c r="A364" t="s">
        <v>452</v>
      </c>
      <c r="B364" t="s">
        <v>227</v>
      </c>
      <c r="C364" s="1">
        <v>45361</v>
      </c>
      <c r="D364">
        <v>50067</v>
      </c>
      <c r="E364" t="s">
        <v>21</v>
      </c>
      <c r="F364" t="s">
        <v>46</v>
      </c>
      <c r="G364" t="s">
        <v>50</v>
      </c>
      <c r="H364" t="s">
        <v>13</v>
      </c>
      <c r="I364" t="str">
        <f t="shared" si="23"/>
        <v>Sunday</v>
      </c>
      <c r="J364" t="str">
        <f t="shared" si="20"/>
        <v>Weekend</v>
      </c>
      <c r="K364" t="str">
        <f t="shared" si="21"/>
        <v>High Value</v>
      </c>
      <c r="L364" t="str">
        <f t="shared" si="22"/>
        <v>Normal</v>
      </c>
    </row>
    <row r="365" spans="1:12" x14ac:dyDescent="0.25">
      <c r="A365" t="s">
        <v>453</v>
      </c>
      <c r="B365" t="s">
        <v>138</v>
      </c>
      <c r="C365" s="1">
        <v>45328</v>
      </c>
      <c r="D365">
        <v>93903</v>
      </c>
      <c r="E365" t="s">
        <v>32</v>
      </c>
      <c r="F365" t="s">
        <v>79</v>
      </c>
      <c r="G365" t="s">
        <v>50</v>
      </c>
      <c r="H365" t="s">
        <v>26</v>
      </c>
      <c r="I365" t="str">
        <f t="shared" si="23"/>
        <v>Tuesday</v>
      </c>
      <c r="J365" t="str">
        <f t="shared" si="20"/>
        <v>Weekday</v>
      </c>
      <c r="K365" t="str">
        <f t="shared" si="21"/>
        <v>High Value</v>
      </c>
      <c r="L365" t="str">
        <f t="shared" si="22"/>
        <v>Suspicious</v>
      </c>
    </row>
    <row r="366" spans="1:12" x14ac:dyDescent="0.25">
      <c r="A366" t="s">
        <v>454</v>
      </c>
      <c r="B366" t="s">
        <v>75</v>
      </c>
      <c r="C366" s="1">
        <v>45387</v>
      </c>
      <c r="D366">
        <v>63093</v>
      </c>
      <c r="E366" t="s">
        <v>10</v>
      </c>
      <c r="F366" t="s">
        <v>49</v>
      </c>
      <c r="G366" t="s">
        <v>12</v>
      </c>
      <c r="H366" t="s">
        <v>26</v>
      </c>
      <c r="I366" t="str">
        <f t="shared" si="23"/>
        <v>Friday</v>
      </c>
      <c r="J366" t="str">
        <f t="shared" si="20"/>
        <v>Weekday</v>
      </c>
      <c r="K366" t="str">
        <f t="shared" si="21"/>
        <v>High Value</v>
      </c>
      <c r="L366" t="str">
        <f t="shared" si="22"/>
        <v>Normal</v>
      </c>
    </row>
    <row r="367" spans="1:12" x14ac:dyDescent="0.25">
      <c r="A367" t="s">
        <v>455</v>
      </c>
      <c r="B367" t="s">
        <v>116</v>
      </c>
      <c r="C367" s="1">
        <v>45326</v>
      </c>
      <c r="D367">
        <v>18292</v>
      </c>
      <c r="E367" t="s">
        <v>21</v>
      </c>
      <c r="F367" t="s">
        <v>22</v>
      </c>
      <c r="G367" t="s">
        <v>18</v>
      </c>
      <c r="H367" t="s">
        <v>13</v>
      </c>
      <c r="I367" t="str">
        <f t="shared" si="23"/>
        <v>Sunday</v>
      </c>
      <c r="J367" t="str">
        <f t="shared" si="20"/>
        <v>Weekend</v>
      </c>
      <c r="K367" t="str">
        <f t="shared" si="21"/>
        <v>Normal</v>
      </c>
      <c r="L367" t="str">
        <f t="shared" si="22"/>
        <v>Normal</v>
      </c>
    </row>
    <row r="368" spans="1:12" x14ac:dyDescent="0.25">
      <c r="A368" t="s">
        <v>456</v>
      </c>
      <c r="B368" t="s">
        <v>119</v>
      </c>
      <c r="C368" s="1">
        <v>45377</v>
      </c>
      <c r="D368">
        <v>118944</v>
      </c>
      <c r="E368" t="s">
        <v>16</v>
      </c>
      <c r="F368" t="s">
        <v>17</v>
      </c>
      <c r="G368" t="s">
        <v>12</v>
      </c>
      <c r="H368" t="s">
        <v>13</v>
      </c>
      <c r="I368" t="str">
        <f t="shared" si="23"/>
        <v>Tuesday</v>
      </c>
      <c r="J368" t="str">
        <f t="shared" si="20"/>
        <v>Weekday</v>
      </c>
      <c r="K368" t="str">
        <f t="shared" si="21"/>
        <v>High Value</v>
      </c>
      <c r="L368" t="str">
        <f t="shared" si="22"/>
        <v>Suspicious</v>
      </c>
    </row>
    <row r="369" spans="1:12" x14ac:dyDescent="0.25">
      <c r="A369" t="s">
        <v>457</v>
      </c>
      <c r="B369" t="s">
        <v>36</v>
      </c>
      <c r="C369" s="1">
        <v>45344</v>
      </c>
      <c r="D369">
        <v>43592</v>
      </c>
      <c r="E369" t="s">
        <v>41</v>
      </c>
      <c r="F369" t="s">
        <v>101</v>
      </c>
      <c r="G369" t="s">
        <v>34</v>
      </c>
      <c r="H369" t="s">
        <v>13</v>
      </c>
      <c r="I369" t="str">
        <f t="shared" si="23"/>
        <v>Thursday</v>
      </c>
      <c r="J369" t="str">
        <f t="shared" si="20"/>
        <v>Weekday</v>
      </c>
      <c r="K369" t="str">
        <f t="shared" si="21"/>
        <v>Normal</v>
      </c>
      <c r="L369" t="str">
        <f t="shared" si="22"/>
        <v>Normal</v>
      </c>
    </row>
    <row r="370" spans="1:12" x14ac:dyDescent="0.25">
      <c r="A370" t="s">
        <v>458</v>
      </c>
      <c r="B370" t="s">
        <v>67</v>
      </c>
      <c r="C370" s="1">
        <v>45410</v>
      </c>
      <c r="D370">
        <v>21001</v>
      </c>
      <c r="E370" t="s">
        <v>41</v>
      </c>
      <c r="F370" t="s">
        <v>101</v>
      </c>
      <c r="G370" t="s">
        <v>25</v>
      </c>
      <c r="H370" t="s">
        <v>26</v>
      </c>
      <c r="I370" t="str">
        <f t="shared" si="23"/>
        <v>Sunday</v>
      </c>
      <c r="J370" t="str">
        <f t="shared" si="20"/>
        <v>Weekend</v>
      </c>
      <c r="K370" t="str">
        <f t="shared" si="21"/>
        <v>Normal</v>
      </c>
      <c r="L370" t="str">
        <f t="shared" si="22"/>
        <v>Normal</v>
      </c>
    </row>
    <row r="371" spans="1:12" x14ac:dyDescent="0.25">
      <c r="A371" t="s">
        <v>459</v>
      </c>
      <c r="B371" t="s">
        <v>65</v>
      </c>
      <c r="C371" s="1">
        <v>45317</v>
      </c>
      <c r="D371">
        <v>99378</v>
      </c>
      <c r="E371" t="s">
        <v>37</v>
      </c>
      <c r="F371" t="s">
        <v>38</v>
      </c>
      <c r="G371" t="s">
        <v>50</v>
      </c>
      <c r="H371" t="s">
        <v>26</v>
      </c>
      <c r="I371" t="str">
        <f t="shared" si="23"/>
        <v>Friday</v>
      </c>
      <c r="J371" t="str">
        <f t="shared" si="20"/>
        <v>Weekday</v>
      </c>
      <c r="K371" t="str">
        <f t="shared" si="21"/>
        <v>High Value</v>
      </c>
      <c r="L371" t="str">
        <f t="shared" si="22"/>
        <v>Suspicious</v>
      </c>
    </row>
    <row r="372" spans="1:12" x14ac:dyDescent="0.25">
      <c r="A372" t="s">
        <v>460</v>
      </c>
      <c r="B372" t="s">
        <v>119</v>
      </c>
      <c r="C372" s="1">
        <v>45408</v>
      </c>
      <c r="D372">
        <v>101058</v>
      </c>
      <c r="E372" t="s">
        <v>10</v>
      </c>
      <c r="F372" t="s">
        <v>49</v>
      </c>
      <c r="G372" t="s">
        <v>25</v>
      </c>
      <c r="H372" t="s">
        <v>13</v>
      </c>
      <c r="I372" t="str">
        <f t="shared" si="23"/>
        <v>Friday</v>
      </c>
      <c r="J372" t="str">
        <f t="shared" si="20"/>
        <v>Weekday</v>
      </c>
      <c r="K372" t="str">
        <f t="shared" si="21"/>
        <v>High Value</v>
      </c>
      <c r="L372" t="str">
        <f t="shared" si="22"/>
        <v>Suspicious</v>
      </c>
    </row>
    <row r="373" spans="1:12" x14ac:dyDescent="0.25">
      <c r="A373" t="s">
        <v>461</v>
      </c>
      <c r="B373" t="s">
        <v>15</v>
      </c>
      <c r="C373" s="1">
        <v>45384</v>
      </c>
      <c r="D373">
        <v>111754</v>
      </c>
      <c r="E373" t="s">
        <v>21</v>
      </c>
      <c r="F373" t="s">
        <v>22</v>
      </c>
      <c r="G373" t="s">
        <v>12</v>
      </c>
      <c r="H373" t="s">
        <v>26</v>
      </c>
      <c r="I373" t="str">
        <f t="shared" si="23"/>
        <v>Tuesday</v>
      </c>
      <c r="J373" t="str">
        <f t="shared" si="20"/>
        <v>Weekday</v>
      </c>
      <c r="K373" t="str">
        <f t="shared" si="21"/>
        <v>High Value</v>
      </c>
      <c r="L373" t="str">
        <f t="shared" si="22"/>
        <v>Suspicious</v>
      </c>
    </row>
    <row r="374" spans="1:12" x14ac:dyDescent="0.25">
      <c r="A374" t="s">
        <v>462</v>
      </c>
      <c r="B374" t="s">
        <v>138</v>
      </c>
      <c r="C374" s="1">
        <v>45399</v>
      </c>
      <c r="D374">
        <v>52334</v>
      </c>
      <c r="E374" t="s">
        <v>16</v>
      </c>
      <c r="F374" t="s">
        <v>52</v>
      </c>
      <c r="G374" t="s">
        <v>12</v>
      </c>
      <c r="H374" t="s">
        <v>26</v>
      </c>
      <c r="I374" t="str">
        <f t="shared" si="23"/>
        <v>Wednesday</v>
      </c>
      <c r="J374" t="str">
        <f t="shared" si="20"/>
        <v>Weekday</v>
      </c>
      <c r="K374" t="str">
        <f t="shared" si="21"/>
        <v>High Value</v>
      </c>
      <c r="L374" t="str">
        <f t="shared" si="22"/>
        <v>Normal</v>
      </c>
    </row>
    <row r="375" spans="1:12" x14ac:dyDescent="0.25">
      <c r="A375" t="s">
        <v>463</v>
      </c>
      <c r="B375" t="s">
        <v>224</v>
      </c>
      <c r="C375" s="1">
        <v>45330</v>
      </c>
      <c r="D375">
        <v>74743</v>
      </c>
      <c r="E375" t="s">
        <v>41</v>
      </c>
      <c r="F375" t="s">
        <v>42</v>
      </c>
      <c r="G375" t="s">
        <v>50</v>
      </c>
      <c r="H375" t="s">
        <v>26</v>
      </c>
      <c r="I375" t="str">
        <f t="shared" si="23"/>
        <v>Thursday</v>
      </c>
      <c r="J375" t="str">
        <f t="shared" si="20"/>
        <v>Weekday</v>
      </c>
      <c r="K375" t="str">
        <f t="shared" si="21"/>
        <v>High Value</v>
      </c>
      <c r="L375" t="str">
        <f t="shared" si="22"/>
        <v>Normal</v>
      </c>
    </row>
    <row r="376" spans="1:12" x14ac:dyDescent="0.25">
      <c r="A376" t="s">
        <v>464</v>
      </c>
      <c r="B376" t="s">
        <v>65</v>
      </c>
      <c r="C376" s="1">
        <v>45361</v>
      </c>
      <c r="D376">
        <v>69023</v>
      </c>
      <c r="E376" t="s">
        <v>37</v>
      </c>
      <c r="F376" t="s">
        <v>38</v>
      </c>
      <c r="G376" t="s">
        <v>12</v>
      </c>
      <c r="H376" t="s">
        <v>26</v>
      </c>
      <c r="I376" t="str">
        <f t="shared" si="23"/>
        <v>Sunday</v>
      </c>
      <c r="J376" t="str">
        <f t="shared" si="20"/>
        <v>Weekend</v>
      </c>
      <c r="K376" t="str">
        <f t="shared" si="21"/>
        <v>High Value</v>
      </c>
      <c r="L376" t="str">
        <f t="shared" si="22"/>
        <v>Normal</v>
      </c>
    </row>
    <row r="377" spans="1:12" x14ac:dyDescent="0.25">
      <c r="A377" t="s">
        <v>465</v>
      </c>
      <c r="B377" t="s">
        <v>204</v>
      </c>
      <c r="C377" s="1">
        <v>45395</v>
      </c>
      <c r="D377">
        <v>15064</v>
      </c>
      <c r="E377" t="s">
        <v>32</v>
      </c>
      <c r="F377" t="s">
        <v>33</v>
      </c>
      <c r="G377" t="s">
        <v>12</v>
      </c>
      <c r="H377" t="s">
        <v>26</v>
      </c>
      <c r="I377" t="str">
        <f t="shared" si="23"/>
        <v>Saturday</v>
      </c>
      <c r="J377" t="str">
        <f t="shared" si="20"/>
        <v>Weekend</v>
      </c>
      <c r="K377" t="str">
        <f t="shared" si="21"/>
        <v>Normal</v>
      </c>
      <c r="L377" t="str">
        <f t="shared" si="22"/>
        <v>Normal</v>
      </c>
    </row>
    <row r="378" spans="1:12" x14ac:dyDescent="0.25">
      <c r="A378" t="s">
        <v>466</v>
      </c>
      <c r="B378" t="s">
        <v>75</v>
      </c>
      <c r="C378" s="1">
        <v>45383</v>
      </c>
      <c r="D378">
        <v>24705</v>
      </c>
      <c r="E378" t="s">
        <v>10</v>
      </c>
      <c r="F378" t="s">
        <v>49</v>
      </c>
      <c r="G378" t="s">
        <v>25</v>
      </c>
      <c r="H378" t="s">
        <v>26</v>
      </c>
      <c r="I378" t="str">
        <f t="shared" si="23"/>
        <v>Monday</v>
      </c>
      <c r="J378" t="str">
        <f t="shared" si="20"/>
        <v>Weekday</v>
      </c>
      <c r="K378" t="str">
        <f t="shared" si="21"/>
        <v>Normal</v>
      </c>
      <c r="L378" t="str">
        <f t="shared" si="22"/>
        <v>Normal</v>
      </c>
    </row>
    <row r="379" spans="1:12" x14ac:dyDescent="0.25">
      <c r="A379" t="s">
        <v>467</v>
      </c>
      <c r="B379" t="s">
        <v>88</v>
      </c>
      <c r="C379" s="1">
        <v>45378</v>
      </c>
      <c r="D379">
        <v>99558</v>
      </c>
      <c r="E379" t="s">
        <v>32</v>
      </c>
      <c r="F379" t="s">
        <v>139</v>
      </c>
      <c r="G379" t="s">
        <v>12</v>
      </c>
      <c r="H379" t="s">
        <v>26</v>
      </c>
      <c r="I379" t="str">
        <f t="shared" si="23"/>
        <v>Wednesday</v>
      </c>
      <c r="J379" t="str">
        <f t="shared" si="20"/>
        <v>Weekday</v>
      </c>
      <c r="K379" t="str">
        <f t="shared" si="21"/>
        <v>High Value</v>
      </c>
      <c r="L379" t="str">
        <f t="shared" si="22"/>
        <v>Suspicious</v>
      </c>
    </row>
    <row r="380" spans="1:12" x14ac:dyDescent="0.25">
      <c r="A380" t="s">
        <v>468</v>
      </c>
      <c r="B380" t="s">
        <v>82</v>
      </c>
      <c r="C380" s="1">
        <v>45333</v>
      </c>
      <c r="D380">
        <v>11668</v>
      </c>
      <c r="E380" t="s">
        <v>37</v>
      </c>
      <c r="F380" t="s">
        <v>38</v>
      </c>
      <c r="G380" t="s">
        <v>25</v>
      </c>
      <c r="H380" t="s">
        <v>13</v>
      </c>
      <c r="I380" t="str">
        <f t="shared" si="23"/>
        <v>Sunday</v>
      </c>
      <c r="J380" t="str">
        <f t="shared" si="20"/>
        <v>Weekend</v>
      </c>
      <c r="K380" t="str">
        <f t="shared" si="21"/>
        <v>Normal</v>
      </c>
      <c r="L380" t="str">
        <f t="shared" si="22"/>
        <v>Normal</v>
      </c>
    </row>
    <row r="381" spans="1:12" x14ac:dyDescent="0.25">
      <c r="A381" t="s">
        <v>469</v>
      </c>
      <c r="B381" t="s">
        <v>256</v>
      </c>
      <c r="C381" s="1">
        <v>45353</v>
      </c>
      <c r="D381">
        <v>42715</v>
      </c>
      <c r="E381" t="s">
        <v>16</v>
      </c>
      <c r="F381" t="s">
        <v>29</v>
      </c>
      <c r="G381" t="s">
        <v>34</v>
      </c>
      <c r="H381" t="s">
        <v>26</v>
      </c>
      <c r="I381" t="str">
        <f t="shared" si="23"/>
        <v>Saturday</v>
      </c>
      <c r="J381" t="str">
        <f t="shared" si="20"/>
        <v>Weekend</v>
      </c>
      <c r="K381" t="str">
        <f t="shared" si="21"/>
        <v>Normal</v>
      </c>
      <c r="L381" t="str">
        <f t="shared" si="22"/>
        <v>Normal</v>
      </c>
    </row>
    <row r="382" spans="1:12" x14ac:dyDescent="0.25">
      <c r="A382" t="s">
        <v>470</v>
      </c>
      <c r="B382" t="s">
        <v>109</v>
      </c>
      <c r="C382" s="1">
        <v>45349</v>
      </c>
      <c r="D382">
        <v>99096</v>
      </c>
      <c r="E382" t="s">
        <v>37</v>
      </c>
      <c r="F382" t="s">
        <v>38</v>
      </c>
      <c r="G382" t="s">
        <v>50</v>
      </c>
      <c r="H382" t="s">
        <v>26</v>
      </c>
      <c r="I382" t="str">
        <f t="shared" si="23"/>
        <v>Tuesday</v>
      </c>
      <c r="J382" t="str">
        <f t="shared" si="20"/>
        <v>Weekday</v>
      </c>
      <c r="K382" t="str">
        <f t="shared" si="21"/>
        <v>High Value</v>
      </c>
      <c r="L382" t="str">
        <f t="shared" si="22"/>
        <v>Suspicious</v>
      </c>
    </row>
    <row r="383" spans="1:12" x14ac:dyDescent="0.25">
      <c r="A383" t="s">
        <v>471</v>
      </c>
      <c r="B383" t="s">
        <v>40</v>
      </c>
      <c r="C383" s="1">
        <v>45365</v>
      </c>
      <c r="D383">
        <v>1798</v>
      </c>
      <c r="E383" t="s">
        <v>21</v>
      </c>
      <c r="F383" t="s">
        <v>46</v>
      </c>
      <c r="G383" t="s">
        <v>25</v>
      </c>
      <c r="H383" t="s">
        <v>26</v>
      </c>
      <c r="I383" t="str">
        <f t="shared" si="23"/>
        <v>Thursday</v>
      </c>
      <c r="J383" t="str">
        <f t="shared" si="20"/>
        <v>Weekday</v>
      </c>
      <c r="K383" t="str">
        <f t="shared" si="21"/>
        <v>Normal</v>
      </c>
      <c r="L383" t="str">
        <f t="shared" si="22"/>
        <v>Normal</v>
      </c>
    </row>
    <row r="384" spans="1:12" x14ac:dyDescent="0.25">
      <c r="A384" t="s">
        <v>472</v>
      </c>
      <c r="B384" t="s">
        <v>109</v>
      </c>
      <c r="C384" s="1">
        <v>45299</v>
      </c>
      <c r="D384">
        <v>87828</v>
      </c>
      <c r="E384" t="s">
        <v>10</v>
      </c>
      <c r="F384" t="s">
        <v>49</v>
      </c>
      <c r="G384" t="s">
        <v>43</v>
      </c>
      <c r="H384" t="s">
        <v>26</v>
      </c>
      <c r="I384" t="str">
        <f t="shared" si="23"/>
        <v>Monday</v>
      </c>
      <c r="J384" t="str">
        <f t="shared" si="20"/>
        <v>Weekday</v>
      </c>
      <c r="K384" t="str">
        <f t="shared" si="21"/>
        <v>High Value</v>
      </c>
      <c r="L384" t="str">
        <f t="shared" si="22"/>
        <v>Suspicious</v>
      </c>
    </row>
    <row r="385" spans="1:12" x14ac:dyDescent="0.25">
      <c r="A385" t="s">
        <v>473</v>
      </c>
      <c r="B385" t="s">
        <v>70</v>
      </c>
      <c r="C385" s="1">
        <v>45379</v>
      </c>
      <c r="D385">
        <v>66166</v>
      </c>
      <c r="E385" t="s">
        <v>16</v>
      </c>
      <c r="F385" t="s">
        <v>17</v>
      </c>
      <c r="G385" t="s">
        <v>50</v>
      </c>
      <c r="H385" t="s">
        <v>13</v>
      </c>
      <c r="I385" t="str">
        <f t="shared" si="23"/>
        <v>Thursday</v>
      </c>
      <c r="J385" t="str">
        <f t="shared" si="20"/>
        <v>Weekday</v>
      </c>
      <c r="K385" t="str">
        <f t="shared" si="21"/>
        <v>High Value</v>
      </c>
      <c r="L385" t="str">
        <f t="shared" si="22"/>
        <v>Normal</v>
      </c>
    </row>
    <row r="386" spans="1:12" x14ac:dyDescent="0.25">
      <c r="A386" t="s">
        <v>474</v>
      </c>
      <c r="B386" t="s">
        <v>45</v>
      </c>
      <c r="C386" s="1">
        <v>45339</v>
      </c>
      <c r="D386">
        <v>80860</v>
      </c>
      <c r="E386" t="s">
        <v>10</v>
      </c>
      <c r="F386" t="s">
        <v>49</v>
      </c>
      <c r="G386" t="s">
        <v>12</v>
      </c>
      <c r="H386" t="s">
        <v>13</v>
      </c>
      <c r="I386" t="str">
        <f t="shared" si="23"/>
        <v>Saturday</v>
      </c>
      <c r="J386" t="str">
        <f t="shared" si="20"/>
        <v>Weekend</v>
      </c>
      <c r="K386" t="str">
        <f t="shared" si="21"/>
        <v>High Value</v>
      </c>
      <c r="L386" t="str">
        <f t="shared" si="22"/>
        <v>Suspicious</v>
      </c>
    </row>
    <row r="387" spans="1:12" x14ac:dyDescent="0.25">
      <c r="A387" t="s">
        <v>475</v>
      </c>
      <c r="B387" t="s">
        <v>245</v>
      </c>
      <c r="C387" s="1">
        <v>45350</v>
      </c>
      <c r="D387">
        <v>98307</v>
      </c>
      <c r="E387" t="s">
        <v>37</v>
      </c>
      <c r="F387" t="s">
        <v>38</v>
      </c>
      <c r="G387" t="s">
        <v>43</v>
      </c>
      <c r="H387" t="s">
        <v>26</v>
      </c>
      <c r="I387" t="str">
        <f t="shared" si="23"/>
        <v>Wednesday</v>
      </c>
      <c r="J387" t="str">
        <f t="shared" ref="J387:J450" si="24">IF(OR(I387="Saturday",I387="Sunday"),"Weekend","Weekday")</f>
        <v>Weekday</v>
      </c>
      <c r="K387" t="str">
        <f t="shared" ref="K387:K450" si="25">IF(D387&gt;50000,"High Value","Normal")</f>
        <v>High Value</v>
      </c>
      <c r="L387" t="str">
        <f t="shared" ref="L387:L450" si="26">IF(D387&gt;75000,"Suspicious","Normal")</f>
        <v>Suspicious</v>
      </c>
    </row>
    <row r="388" spans="1:12" x14ac:dyDescent="0.25">
      <c r="A388" t="s">
        <v>476</v>
      </c>
      <c r="B388" t="s">
        <v>123</v>
      </c>
      <c r="C388" s="1">
        <v>45397</v>
      </c>
      <c r="D388">
        <v>28927</v>
      </c>
      <c r="E388" t="s">
        <v>21</v>
      </c>
      <c r="F388" t="s">
        <v>22</v>
      </c>
      <c r="G388" t="s">
        <v>25</v>
      </c>
      <c r="H388" t="s">
        <v>13</v>
      </c>
      <c r="I388" t="str">
        <f t="shared" si="23"/>
        <v>Monday</v>
      </c>
      <c r="J388" t="str">
        <f t="shared" si="24"/>
        <v>Weekday</v>
      </c>
      <c r="K388" t="str">
        <f t="shared" si="25"/>
        <v>Normal</v>
      </c>
      <c r="L388" t="str">
        <f t="shared" si="26"/>
        <v>Normal</v>
      </c>
    </row>
    <row r="389" spans="1:12" x14ac:dyDescent="0.25">
      <c r="A389" t="s">
        <v>477</v>
      </c>
      <c r="B389" t="s">
        <v>28</v>
      </c>
      <c r="C389" s="1">
        <v>45359</v>
      </c>
      <c r="D389">
        <v>92544</v>
      </c>
      <c r="E389" t="s">
        <v>21</v>
      </c>
      <c r="F389" t="s">
        <v>46</v>
      </c>
      <c r="G389" t="s">
        <v>34</v>
      </c>
      <c r="H389" t="s">
        <v>13</v>
      </c>
      <c r="I389" t="str">
        <f t="shared" ref="I389:I452" si="27">TEXT(C389,"dddd")</f>
        <v>Friday</v>
      </c>
      <c r="J389" t="str">
        <f t="shared" si="24"/>
        <v>Weekday</v>
      </c>
      <c r="K389" t="str">
        <f t="shared" si="25"/>
        <v>High Value</v>
      </c>
      <c r="L389" t="str">
        <f t="shared" si="26"/>
        <v>Suspicious</v>
      </c>
    </row>
    <row r="390" spans="1:12" x14ac:dyDescent="0.25">
      <c r="A390" t="s">
        <v>478</v>
      </c>
      <c r="B390" t="s">
        <v>67</v>
      </c>
      <c r="C390" s="1">
        <v>45407</v>
      </c>
      <c r="D390">
        <v>66555</v>
      </c>
      <c r="E390" t="s">
        <v>41</v>
      </c>
      <c r="F390" t="s">
        <v>98</v>
      </c>
      <c r="G390" t="s">
        <v>18</v>
      </c>
      <c r="H390" t="s">
        <v>13</v>
      </c>
      <c r="I390" t="str">
        <f t="shared" si="27"/>
        <v>Thursday</v>
      </c>
      <c r="J390" t="str">
        <f t="shared" si="24"/>
        <v>Weekday</v>
      </c>
      <c r="K390" t="str">
        <f t="shared" si="25"/>
        <v>High Value</v>
      </c>
      <c r="L390" t="str">
        <f t="shared" si="26"/>
        <v>Normal</v>
      </c>
    </row>
    <row r="391" spans="1:12" x14ac:dyDescent="0.25">
      <c r="A391" t="s">
        <v>479</v>
      </c>
      <c r="B391" t="s">
        <v>175</v>
      </c>
      <c r="C391" s="1">
        <v>45401</v>
      </c>
      <c r="D391">
        <v>68502</v>
      </c>
      <c r="E391" t="s">
        <v>16</v>
      </c>
      <c r="F391" t="s">
        <v>52</v>
      </c>
      <c r="G391" t="s">
        <v>34</v>
      </c>
      <c r="H391" t="s">
        <v>13</v>
      </c>
      <c r="I391" t="str">
        <f t="shared" si="27"/>
        <v>Friday</v>
      </c>
      <c r="J391" t="str">
        <f t="shared" si="24"/>
        <v>Weekday</v>
      </c>
      <c r="K391" t="str">
        <f t="shared" si="25"/>
        <v>High Value</v>
      </c>
      <c r="L391" t="str">
        <f t="shared" si="26"/>
        <v>Normal</v>
      </c>
    </row>
    <row r="392" spans="1:12" x14ac:dyDescent="0.25">
      <c r="A392" t="s">
        <v>480</v>
      </c>
      <c r="B392" t="s">
        <v>97</v>
      </c>
      <c r="C392" s="1">
        <v>45354</v>
      </c>
      <c r="D392">
        <v>12219</v>
      </c>
      <c r="E392" t="s">
        <v>10</v>
      </c>
      <c r="F392" t="s">
        <v>68</v>
      </c>
      <c r="G392" t="s">
        <v>43</v>
      </c>
      <c r="H392" t="s">
        <v>13</v>
      </c>
      <c r="I392" t="str">
        <f t="shared" si="27"/>
        <v>Sunday</v>
      </c>
      <c r="J392" t="str">
        <f t="shared" si="24"/>
        <v>Weekend</v>
      </c>
      <c r="K392" t="str">
        <f t="shared" si="25"/>
        <v>Normal</v>
      </c>
      <c r="L392" t="str">
        <f t="shared" si="26"/>
        <v>Normal</v>
      </c>
    </row>
    <row r="393" spans="1:12" x14ac:dyDescent="0.25">
      <c r="A393" t="s">
        <v>481</v>
      </c>
      <c r="B393" t="s">
        <v>256</v>
      </c>
      <c r="C393" s="1">
        <v>45357</v>
      </c>
      <c r="D393">
        <v>54750</v>
      </c>
      <c r="E393" t="s">
        <v>37</v>
      </c>
      <c r="F393" t="s">
        <v>38</v>
      </c>
      <c r="G393" t="s">
        <v>18</v>
      </c>
      <c r="H393" t="s">
        <v>13</v>
      </c>
      <c r="I393" t="str">
        <f t="shared" si="27"/>
        <v>Wednesday</v>
      </c>
      <c r="J393" t="str">
        <f t="shared" si="24"/>
        <v>Weekday</v>
      </c>
      <c r="K393" t="str">
        <f t="shared" si="25"/>
        <v>High Value</v>
      </c>
      <c r="L393" t="str">
        <f t="shared" si="26"/>
        <v>Normal</v>
      </c>
    </row>
    <row r="394" spans="1:12" x14ac:dyDescent="0.25">
      <c r="A394" t="s">
        <v>482</v>
      </c>
      <c r="B394" t="s">
        <v>105</v>
      </c>
      <c r="C394" s="1">
        <v>45378</v>
      </c>
      <c r="D394">
        <v>106064</v>
      </c>
      <c r="E394" t="s">
        <v>21</v>
      </c>
      <c r="F394" t="s">
        <v>46</v>
      </c>
      <c r="G394" t="s">
        <v>25</v>
      </c>
      <c r="H394" t="s">
        <v>13</v>
      </c>
      <c r="I394" t="str">
        <f t="shared" si="27"/>
        <v>Wednesday</v>
      </c>
      <c r="J394" t="str">
        <f t="shared" si="24"/>
        <v>Weekday</v>
      </c>
      <c r="K394" t="str">
        <f t="shared" si="25"/>
        <v>High Value</v>
      </c>
      <c r="L394" t="str">
        <f t="shared" si="26"/>
        <v>Suspicious</v>
      </c>
    </row>
    <row r="395" spans="1:12" x14ac:dyDescent="0.25">
      <c r="A395" t="s">
        <v>483</v>
      </c>
      <c r="B395" t="s">
        <v>75</v>
      </c>
      <c r="C395" s="1">
        <v>45396</v>
      </c>
      <c r="D395">
        <v>695</v>
      </c>
      <c r="E395" t="s">
        <v>37</v>
      </c>
      <c r="F395" t="s">
        <v>58</v>
      </c>
      <c r="G395" t="s">
        <v>18</v>
      </c>
      <c r="H395" t="s">
        <v>13</v>
      </c>
      <c r="I395" t="str">
        <f t="shared" si="27"/>
        <v>Sunday</v>
      </c>
      <c r="J395" t="str">
        <f t="shared" si="24"/>
        <v>Weekend</v>
      </c>
      <c r="K395" t="str">
        <f t="shared" si="25"/>
        <v>Normal</v>
      </c>
      <c r="L395" t="str">
        <f t="shared" si="26"/>
        <v>Normal</v>
      </c>
    </row>
    <row r="396" spans="1:12" x14ac:dyDescent="0.25">
      <c r="A396" t="s">
        <v>484</v>
      </c>
      <c r="B396" t="s">
        <v>20</v>
      </c>
      <c r="C396" s="1">
        <v>45336</v>
      </c>
      <c r="D396">
        <v>92100</v>
      </c>
      <c r="E396" t="s">
        <v>41</v>
      </c>
      <c r="F396" t="s">
        <v>42</v>
      </c>
      <c r="G396" t="s">
        <v>18</v>
      </c>
      <c r="H396" t="s">
        <v>13</v>
      </c>
      <c r="I396" t="str">
        <f t="shared" si="27"/>
        <v>Wednesday</v>
      </c>
      <c r="J396" t="str">
        <f t="shared" si="24"/>
        <v>Weekday</v>
      </c>
      <c r="K396" t="str">
        <f t="shared" si="25"/>
        <v>High Value</v>
      </c>
      <c r="L396" t="str">
        <f t="shared" si="26"/>
        <v>Suspicious</v>
      </c>
    </row>
    <row r="397" spans="1:12" x14ac:dyDescent="0.25">
      <c r="A397" t="s">
        <v>485</v>
      </c>
      <c r="B397" t="s">
        <v>206</v>
      </c>
      <c r="C397" s="1">
        <v>45296</v>
      </c>
      <c r="D397">
        <v>37929</v>
      </c>
      <c r="E397" t="s">
        <v>41</v>
      </c>
      <c r="F397" t="s">
        <v>101</v>
      </c>
      <c r="G397" t="s">
        <v>12</v>
      </c>
      <c r="H397" t="s">
        <v>13</v>
      </c>
      <c r="I397" t="str">
        <f t="shared" si="27"/>
        <v>Friday</v>
      </c>
      <c r="J397" t="str">
        <f t="shared" si="24"/>
        <v>Weekday</v>
      </c>
      <c r="K397" t="str">
        <f t="shared" si="25"/>
        <v>Normal</v>
      </c>
      <c r="L397" t="str">
        <f t="shared" si="26"/>
        <v>Normal</v>
      </c>
    </row>
    <row r="398" spans="1:12" x14ac:dyDescent="0.25">
      <c r="A398" t="s">
        <v>486</v>
      </c>
      <c r="B398" t="s">
        <v>40</v>
      </c>
      <c r="C398" s="1">
        <v>45374</v>
      </c>
      <c r="D398">
        <v>55397</v>
      </c>
      <c r="E398" t="s">
        <v>10</v>
      </c>
      <c r="F398" t="s">
        <v>11</v>
      </c>
      <c r="G398" t="s">
        <v>43</v>
      </c>
      <c r="H398" t="s">
        <v>26</v>
      </c>
      <c r="I398" t="str">
        <f t="shared" si="27"/>
        <v>Saturday</v>
      </c>
      <c r="J398" t="str">
        <f t="shared" si="24"/>
        <v>Weekend</v>
      </c>
      <c r="K398" t="str">
        <f t="shared" si="25"/>
        <v>High Value</v>
      </c>
      <c r="L398" t="str">
        <f t="shared" si="26"/>
        <v>Normal</v>
      </c>
    </row>
    <row r="399" spans="1:12" x14ac:dyDescent="0.25">
      <c r="A399" t="s">
        <v>487</v>
      </c>
      <c r="B399" t="s">
        <v>114</v>
      </c>
      <c r="C399" s="1">
        <v>45302</v>
      </c>
      <c r="D399">
        <v>89786</v>
      </c>
      <c r="E399" t="s">
        <v>37</v>
      </c>
      <c r="F399" t="s">
        <v>58</v>
      </c>
      <c r="G399" t="s">
        <v>25</v>
      </c>
      <c r="H399" t="s">
        <v>26</v>
      </c>
      <c r="I399" t="str">
        <f t="shared" si="27"/>
        <v>Thursday</v>
      </c>
      <c r="J399" t="str">
        <f t="shared" si="24"/>
        <v>Weekday</v>
      </c>
      <c r="K399" t="str">
        <f t="shared" si="25"/>
        <v>High Value</v>
      </c>
      <c r="L399" t="str">
        <f t="shared" si="26"/>
        <v>Suspicious</v>
      </c>
    </row>
    <row r="400" spans="1:12" x14ac:dyDescent="0.25">
      <c r="A400" t="s">
        <v>488</v>
      </c>
      <c r="B400" t="s">
        <v>147</v>
      </c>
      <c r="C400" s="1">
        <v>45360</v>
      </c>
      <c r="D400">
        <v>51818</v>
      </c>
      <c r="E400" t="s">
        <v>41</v>
      </c>
      <c r="F400" t="s">
        <v>98</v>
      </c>
      <c r="G400" t="s">
        <v>25</v>
      </c>
      <c r="H400" t="s">
        <v>13</v>
      </c>
      <c r="I400" t="str">
        <f t="shared" si="27"/>
        <v>Saturday</v>
      </c>
      <c r="J400" t="str">
        <f t="shared" si="24"/>
        <v>Weekend</v>
      </c>
      <c r="K400" t="str">
        <f t="shared" si="25"/>
        <v>High Value</v>
      </c>
      <c r="L400" t="str">
        <f t="shared" si="26"/>
        <v>Normal</v>
      </c>
    </row>
    <row r="401" spans="1:12" x14ac:dyDescent="0.25">
      <c r="A401" t="s">
        <v>489</v>
      </c>
      <c r="B401" t="s">
        <v>72</v>
      </c>
      <c r="C401" s="1">
        <v>45294</v>
      </c>
      <c r="D401">
        <v>39407</v>
      </c>
      <c r="E401" t="s">
        <v>41</v>
      </c>
      <c r="F401" t="s">
        <v>101</v>
      </c>
      <c r="G401" t="s">
        <v>25</v>
      </c>
      <c r="H401" t="s">
        <v>26</v>
      </c>
      <c r="I401" t="str">
        <f t="shared" si="27"/>
        <v>Wednesday</v>
      </c>
      <c r="J401" t="str">
        <f t="shared" si="24"/>
        <v>Weekday</v>
      </c>
      <c r="K401" t="str">
        <f t="shared" si="25"/>
        <v>Normal</v>
      </c>
      <c r="L401" t="str">
        <f t="shared" si="26"/>
        <v>Normal</v>
      </c>
    </row>
    <row r="402" spans="1:12" x14ac:dyDescent="0.25">
      <c r="A402" t="s">
        <v>490</v>
      </c>
      <c r="B402" t="s">
        <v>114</v>
      </c>
      <c r="C402" s="1">
        <v>45397</v>
      </c>
      <c r="D402">
        <v>30402</v>
      </c>
      <c r="E402" t="s">
        <v>21</v>
      </c>
      <c r="F402" t="s">
        <v>22</v>
      </c>
      <c r="G402" t="s">
        <v>43</v>
      </c>
      <c r="H402" t="s">
        <v>26</v>
      </c>
      <c r="I402" t="str">
        <f t="shared" si="27"/>
        <v>Monday</v>
      </c>
      <c r="J402" t="str">
        <f t="shared" si="24"/>
        <v>Weekday</v>
      </c>
      <c r="K402" t="str">
        <f t="shared" si="25"/>
        <v>Normal</v>
      </c>
      <c r="L402" t="str">
        <f t="shared" si="26"/>
        <v>Normal</v>
      </c>
    </row>
    <row r="403" spans="1:12" x14ac:dyDescent="0.25">
      <c r="A403" t="s">
        <v>491</v>
      </c>
      <c r="B403" t="s">
        <v>31</v>
      </c>
      <c r="C403" s="1">
        <v>45316</v>
      </c>
      <c r="D403">
        <v>115015</v>
      </c>
      <c r="E403" t="s">
        <v>16</v>
      </c>
      <c r="F403" t="s">
        <v>17</v>
      </c>
      <c r="G403" t="s">
        <v>34</v>
      </c>
      <c r="H403" t="s">
        <v>13</v>
      </c>
      <c r="I403" t="str">
        <f t="shared" si="27"/>
        <v>Thursday</v>
      </c>
      <c r="J403" t="str">
        <f t="shared" si="24"/>
        <v>Weekday</v>
      </c>
      <c r="K403" t="str">
        <f t="shared" si="25"/>
        <v>High Value</v>
      </c>
      <c r="L403" t="str">
        <f t="shared" si="26"/>
        <v>Suspicious</v>
      </c>
    </row>
    <row r="404" spans="1:12" x14ac:dyDescent="0.25">
      <c r="A404" t="s">
        <v>492</v>
      </c>
      <c r="B404" t="s">
        <v>112</v>
      </c>
      <c r="C404" s="1">
        <v>45370</v>
      </c>
      <c r="D404">
        <v>100708</v>
      </c>
      <c r="E404" t="s">
        <v>10</v>
      </c>
      <c r="F404" t="s">
        <v>49</v>
      </c>
      <c r="G404" t="s">
        <v>12</v>
      </c>
      <c r="H404" t="s">
        <v>13</v>
      </c>
      <c r="I404" t="str">
        <f t="shared" si="27"/>
        <v>Tuesday</v>
      </c>
      <c r="J404" t="str">
        <f t="shared" si="24"/>
        <v>Weekday</v>
      </c>
      <c r="K404" t="str">
        <f t="shared" si="25"/>
        <v>High Value</v>
      </c>
      <c r="L404" t="str">
        <f t="shared" si="26"/>
        <v>Suspicious</v>
      </c>
    </row>
    <row r="405" spans="1:12" x14ac:dyDescent="0.25">
      <c r="A405" t="s">
        <v>493</v>
      </c>
      <c r="B405" t="s">
        <v>36</v>
      </c>
      <c r="C405" s="1">
        <v>45368</v>
      </c>
      <c r="D405">
        <v>4700</v>
      </c>
      <c r="E405" t="s">
        <v>41</v>
      </c>
      <c r="F405" t="s">
        <v>101</v>
      </c>
      <c r="G405" t="s">
        <v>18</v>
      </c>
      <c r="H405" t="s">
        <v>13</v>
      </c>
      <c r="I405" t="str">
        <f t="shared" si="27"/>
        <v>Sunday</v>
      </c>
      <c r="J405" t="str">
        <f t="shared" si="24"/>
        <v>Weekend</v>
      </c>
      <c r="K405" t="str">
        <f t="shared" si="25"/>
        <v>Normal</v>
      </c>
      <c r="L405" t="str">
        <f t="shared" si="26"/>
        <v>Normal</v>
      </c>
    </row>
    <row r="406" spans="1:12" x14ac:dyDescent="0.25">
      <c r="A406" t="s">
        <v>494</v>
      </c>
      <c r="B406" t="s">
        <v>15</v>
      </c>
      <c r="C406" s="1">
        <v>45297</v>
      </c>
      <c r="D406">
        <v>53025</v>
      </c>
      <c r="E406" t="s">
        <v>16</v>
      </c>
      <c r="F406" t="s">
        <v>52</v>
      </c>
      <c r="G406" t="s">
        <v>12</v>
      </c>
      <c r="H406" t="s">
        <v>13</v>
      </c>
      <c r="I406" t="str">
        <f t="shared" si="27"/>
        <v>Saturday</v>
      </c>
      <c r="J406" t="str">
        <f t="shared" si="24"/>
        <v>Weekend</v>
      </c>
      <c r="K406" t="str">
        <f t="shared" si="25"/>
        <v>High Value</v>
      </c>
      <c r="L406" t="str">
        <f t="shared" si="26"/>
        <v>Normal</v>
      </c>
    </row>
    <row r="407" spans="1:12" x14ac:dyDescent="0.25">
      <c r="A407" t="s">
        <v>495</v>
      </c>
      <c r="B407" t="s">
        <v>256</v>
      </c>
      <c r="C407" s="1">
        <v>45356</v>
      </c>
      <c r="D407">
        <v>38214</v>
      </c>
      <c r="E407" t="s">
        <v>41</v>
      </c>
      <c r="F407" t="s">
        <v>98</v>
      </c>
      <c r="G407" t="s">
        <v>25</v>
      </c>
      <c r="H407" t="s">
        <v>26</v>
      </c>
      <c r="I407" t="str">
        <f t="shared" si="27"/>
        <v>Tuesday</v>
      </c>
      <c r="J407" t="str">
        <f t="shared" si="24"/>
        <v>Weekday</v>
      </c>
      <c r="K407" t="str">
        <f t="shared" si="25"/>
        <v>Normal</v>
      </c>
      <c r="L407" t="str">
        <f t="shared" si="26"/>
        <v>Normal</v>
      </c>
    </row>
    <row r="408" spans="1:12" x14ac:dyDescent="0.25">
      <c r="A408" t="s">
        <v>496</v>
      </c>
      <c r="B408" t="s">
        <v>24</v>
      </c>
      <c r="C408" s="1">
        <v>45390</v>
      </c>
      <c r="D408">
        <v>88450</v>
      </c>
      <c r="E408" t="s">
        <v>21</v>
      </c>
      <c r="F408" t="s">
        <v>46</v>
      </c>
      <c r="G408" t="s">
        <v>12</v>
      </c>
      <c r="H408" t="s">
        <v>26</v>
      </c>
      <c r="I408" t="str">
        <f t="shared" si="27"/>
        <v>Monday</v>
      </c>
      <c r="J408" t="str">
        <f t="shared" si="24"/>
        <v>Weekday</v>
      </c>
      <c r="K408" t="str">
        <f t="shared" si="25"/>
        <v>High Value</v>
      </c>
      <c r="L408" t="str">
        <f t="shared" si="26"/>
        <v>Suspicious</v>
      </c>
    </row>
    <row r="409" spans="1:12" x14ac:dyDescent="0.25">
      <c r="A409" t="s">
        <v>497</v>
      </c>
      <c r="B409" t="s">
        <v>123</v>
      </c>
      <c r="C409" s="1">
        <v>45358</v>
      </c>
      <c r="D409">
        <v>29272</v>
      </c>
      <c r="E409" t="s">
        <v>16</v>
      </c>
      <c r="F409" t="s">
        <v>52</v>
      </c>
      <c r="G409" t="s">
        <v>50</v>
      </c>
      <c r="H409" t="s">
        <v>26</v>
      </c>
      <c r="I409" t="str">
        <f t="shared" si="27"/>
        <v>Thursday</v>
      </c>
      <c r="J409" t="str">
        <f t="shared" si="24"/>
        <v>Weekday</v>
      </c>
      <c r="K409" t="str">
        <f t="shared" si="25"/>
        <v>Normal</v>
      </c>
      <c r="L409" t="str">
        <f t="shared" si="26"/>
        <v>Normal</v>
      </c>
    </row>
    <row r="410" spans="1:12" x14ac:dyDescent="0.25">
      <c r="A410" t="s">
        <v>498</v>
      </c>
      <c r="B410" t="s">
        <v>67</v>
      </c>
      <c r="C410" s="1">
        <v>45367</v>
      </c>
      <c r="D410">
        <v>115605</v>
      </c>
      <c r="E410" t="s">
        <v>41</v>
      </c>
      <c r="F410" t="s">
        <v>98</v>
      </c>
      <c r="G410" t="s">
        <v>25</v>
      </c>
      <c r="H410" t="s">
        <v>26</v>
      </c>
      <c r="I410" t="str">
        <f t="shared" si="27"/>
        <v>Saturday</v>
      </c>
      <c r="J410" t="str">
        <f t="shared" si="24"/>
        <v>Weekend</v>
      </c>
      <c r="K410" t="str">
        <f t="shared" si="25"/>
        <v>High Value</v>
      </c>
      <c r="L410" t="str">
        <f t="shared" si="26"/>
        <v>Suspicious</v>
      </c>
    </row>
    <row r="411" spans="1:12" x14ac:dyDescent="0.25">
      <c r="A411" t="s">
        <v>499</v>
      </c>
      <c r="B411" t="s">
        <v>136</v>
      </c>
      <c r="C411" s="1">
        <v>45298</v>
      </c>
      <c r="D411">
        <v>45443</v>
      </c>
      <c r="E411" t="s">
        <v>21</v>
      </c>
      <c r="F411" t="s">
        <v>46</v>
      </c>
      <c r="G411" t="s">
        <v>18</v>
      </c>
      <c r="H411" t="s">
        <v>26</v>
      </c>
      <c r="I411" t="str">
        <f t="shared" si="27"/>
        <v>Sunday</v>
      </c>
      <c r="J411" t="str">
        <f t="shared" si="24"/>
        <v>Weekend</v>
      </c>
      <c r="K411" t="str">
        <f t="shared" si="25"/>
        <v>Normal</v>
      </c>
      <c r="L411" t="str">
        <f t="shared" si="26"/>
        <v>Normal</v>
      </c>
    </row>
    <row r="412" spans="1:12" x14ac:dyDescent="0.25">
      <c r="A412" t="s">
        <v>500</v>
      </c>
      <c r="B412" t="s">
        <v>112</v>
      </c>
      <c r="C412" s="1">
        <v>45344</v>
      </c>
      <c r="D412">
        <v>19858</v>
      </c>
      <c r="E412" t="s">
        <v>10</v>
      </c>
      <c r="F412" t="s">
        <v>11</v>
      </c>
      <c r="G412" t="s">
        <v>43</v>
      </c>
      <c r="H412" t="s">
        <v>13</v>
      </c>
      <c r="I412" t="str">
        <f t="shared" si="27"/>
        <v>Thursday</v>
      </c>
      <c r="J412" t="str">
        <f t="shared" si="24"/>
        <v>Weekday</v>
      </c>
      <c r="K412" t="str">
        <f t="shared" si="25"/>
        <v>Normal</v>
      </c>
      <c r="L412" t="str">
        <f t="shared" si="26"/>
        <v>Normal</v>
      </c>
    </row>
    <row r="413" spans="1:12" x14ac:dyDescent="0.25">
      <c r="A413" t="s">
        <v>501</v>
      </c>
      <c r="B413" t="s">
        <v>206</v>
      </c>
      <c r="C413" s="1">
        <v>45322</v>
      </c>
      <c r="D413">
        <v>111624</v>
      </c>
      <c r="E413" t="s">
        <v>21</v>
      </c>
      <c r="F413" t="s">
        <v>22</v>
      </c>
      <c r="G413" t="s">
        <v>50</v>
      </c>
      <c r="H413" t="s">
        <v>13</v>
      </c>
      <c r="I413" t="str">
        <f t="shared" si="27"/>
        <v>Wednesday</v>
      </c>
      <c r="J413" t="str">
        <f t="shared" si="24"/>
        <v>Weekday</v>
      </c>
      <c r="K413" t="str">
        <f t="shared" si="25"/>
        <v>High Value</v>
      </c>
      <c r="L413" t="str">
        <f t="shared" si="26"/>
        <v>Suspicious</v>
      </c>
    </row>
    <row r="414" spans="1:12" x14ac:dyDescent="0.25">
      <c r="A414" t="s">
        <v>502</v>
      </c>
      <c r="B414" t="s">
        <v>119</v>
      </c>
      <c r="C414" s="1">
        <v>45363</v>
      </c>
      <c r="D414">
        <v>54390</v>
      </c>
      <c r="E414" t="s">
        <v>37</v>
      </c>
      <c r="F414" t="s">
        <v>38</v>
      </c>
      <c r="G414" t="s">
        <v>18</v>
      </c>
      <c r="H414" t="s">
        <v>13</v>
      </c>
      <c r="I414" t="str">
        <f t="shared" si="27"/>
        <v>Tuesday</v>
      </c>
      <c r="J414" t="str">
        <f t="shared" si="24"/>
        <v>Weekday</v>
      </c>
      <c r="K414" t="str">
        <f t="shared" si="25"/>
        <v>High Value</v>
      </c>
      <c r="L414" t="str">
        <f t="shared" si="26"/>
        <v>Normal</v>
      </c>
    </row>
    <row r="415" spans="1:12" x14ac:dyDescent="0.25">
      <c r="A415" t="s">
        <v>503</v>
      </c>
      <c r="B415" t="s">
        <v>109</v>
      </c>
      <c r="C415" s="1">
        <v>45324</v>
      </c>
      <c r="D415">
        <v>26951</v>
      </c>
      <c r="E415" t="s">
        <v>37</v>
      </c>
      <c r="F415" t="s">
        <v>38</v>
      </c>
      <c r="G415" t="s">
        <v>25</v>
      </c>
      <c r="H415" t="s">
        <v>13</v>
      </c>
      <c r="I415" t="str">
        <f t="shared" si="27"/>
        <v>Friday</v>
      </c>
      <c r="J415" t="str">
        <f t="shared" si="24"/>
        <v>Weekday</v>
      </c>
      <c r="K415" t="str">
        <f t="shared" si="25"/>
        <v>Normal</v>
      </c>
      <c r="L415" t="str">
        <f t="shared" si="26"/>
        <v>Normal</v>
      </c>
    </row>
    <row r="416" spans="1:12" x14ac:dyDescent="0.25">
      <c r="A416" t="s">
        <v>504</v>
      </c>
      <c r="B416" t="s">
        <v>54</v>
      </c>
      <c r="C416" s="1">
        <v>45303</v>
      </c>
      <c r="D416">
        <v>70506</v>
      </c>
      <c r="E416" t="s">
        <v>37</v>
      </c>
      <c r="F416" t="s">
        <v>58</v>
      </c>
      <c r="G416" t="s">
        <v>34</v>
      </c>
      <c r="H416" t="s">
        <v>26</v>
      </c>
      <c r="I416" t="str">
        <f t="shared" si="27"/>
        <v>Friday</v>
      </c>
      <c r="J416" t="str">
        <f t="shared" si="24"/>
        <v>Weekday</v>
      </c>
      <c r="K416" t="str">
        <f t="shared" si="25"/>
        <v>High Value</v>
      </c>
      <c r="L416" t="str">
        <f t="shared" si="26"/>
        <v>Normal</v>
      </c>
    </row>
    <row r="417" spans="1:12" x14ac:dyDescent="0.25">
      <c r="A417" t="s">
        <v>505</v>
      </c>
      <c r="B417" t="s">
        <v>227</v>
      </c>
      <c r="C417" s="1">
        <v>45369</v>
      </c>
      <c r="D417">
        <v>79326</v>
      </c>
      <c r="E417" t="s">
        <v>37</v>
      </c>
      <c r="F417" t="s">
        <v>58</v>
      </c>
      <c r="G417" t="s">
        <v>34</v>
      </c>
      <c r="H417" t="s">
        <v>13</v>
      </c>
      <c r="I417" t="str">
        <f t="shared" si="27"/>
        <v>Monday</v>
      </c>
      <c r="J417" t="str">
        <f t="shared" si="24"/>
        <v>Weekday</v>
      </c>
      <c r="K417" t="str">
        <f t="shared" si="25"/>
        <v>High Value</v>
      </c>
      <c r="L417" t="str">
        <f t="shared" si="26"/>
        <v>Suspicious</v>
      </c>
    </row>
    <row r="418" spans="1:12" x14ac:dyDescent="0.25">
      <c r="A418" t="s">
        <v>506</v>
      </c>
      <c r="B418" t="s">
        <v>40</v>
      </c>
      <c r="C418" s="1">
        <v>45377</v>
      </c>
      <c r="D418">
        <v>73549</v>
      </c>
      <c r="E418" t="s">
        <v>21</v>
      </c>
      <c r="F418" t="s">
        <v>22</v>
      </c>
      <c r="G418" t="s">
        <v>43</v>
      </c>
      <c r="H418" t="s">
        <v>13</v>
      </c>
      <c r="I418" t="str">
        <f t="shared" si="27"/>
        <v>Tuesday</v>
      </c>
      <c r="J418" t="str">
        <f t="shared" si="24"/>
        <v>Weekday</v>
      </c>
      <c r="K418" t="str">
        <f t="shared" si="25"/>
        <v>High Value</v>
      </c>
      <c r="L418" t="str">
        <f t="shared" si="26"/>
        <v>Normal</v>
      </c>
    </row>
    <row r="419" spans="1:12" x14ac:dyDescent="0.25">
      <c r="A419" t="s">
        <v>507</v>
      </c>
      <c r="B419" t="s">
        <v>94</v>
      </c>
      <c r="C419" s="1">
        <v>45408</v>
      </c>
      <c r="D419">
        <v>2309</v>
      </c>
      <c r="E419" t="s">
        <v>32</v>
      </c>
      <c r="F419" t="s">
        <v>139</v>
      </c>
      <c r="G419" t="s">
        <v>12</v>
      </c>
      <c r="H419" t="s">
        <v>13</v>
      </c>
      <c r="I419" t="str">
        <f t="shared" si="27"/>
        <v>Friday</v>
      </c>
      <c r="J419" t="str">
        <f t="shared" si="24"/>
        <v>Weekday</v>
      </c>
      <c r="K419" t="str">
        <f t="shared" si="25"/>
        <v>Normal</v>
      </c>
      <c r="L419" t="str">
        <f t="shared" si="26"/>
        <v>Normal</v>
      </c>
    </row>
    <row r="420" spans="1:12" x14ac:dyDescent="0.25">
      <c r="A420" t="s">
        <v>508</v>
      </c>
      <c r="B420" t="s">
        <v>72</v>
      </c>
      <c r="C420" s="1">
        <v>45353</v>
      </c>
      <c r="D420">
        <v>32097</v>
      </c>
      <c r="E420" t="s">
        <v>10</v>
      </c>
      <c r="F420" t="s">
        <v>68</v>
      </c>
      <c r="G420" t="s">
        <v>18</v>
      </c>
      <c r="H420" t="s">
        <v>13</v>
      </c>
      <c r="I420" t="str">
        <f t="shared" si="27"/>
        <v>Saturday</v>
      </c>
      <c r="J420" t="str">
        <f t="shared" si="24"/>
        <v>Weekend</v>
      </c>
      <c r="K420" t="str">
        <f t="shared" si="25"/>
        <v>Normal</v>
      </c>
      <c r="L420" t="str">
        <f t="shared" si="26"/>
        <v>Normal</v>
      </c>
    </row>
    <row r="421" spans="1:12" x14ac:dyDescent="0.25">
      <c r="A421" t="s">
        <v>509</v>
      </c>
      <c r="B421" t="s">
        <v>109</v>
      </c>
      <c r="C421" s="1">
        <v>45362</v>
      </c>
      <c r="D421">
        <v>42454</v>
      </c>
      <c r="E421" t="s">
        <v>37</v>
      </c>
      <c r="F421" t="s">
        <v>38</v>
      </c>
      <c r="G421" t="s">
        <v>43</v>
      </c>
      <c r="H421" t="s">
        <v>26</v>
      </c>
      <c r="I421" t="str">
        <f t="shared" si="27"/>
        <v>Monday</v>
      </c>
      <c r="J421" t="str">
        <f t="shared" si="24"/>
        <v>Weekday</v>
      </c>
      <c r="K421" t="str">
        <f t="shared" si="25"/>
        <v>Normal</v>
      </c>
      <c r="L421" t="str">
        <f t="shared" si="26"/>
        <v>Normal</v>
      </c>
    </row>
    <row r="422" spans="1:12" x14ac:dyDescent="0.25">
      <c r="A422" t="s">
        <v>510</v>
      </c>
      <c r="B422" t="s">
        <v>65</v>
      </c>
      <c r="C422" s="1">
        <v>45337</v>
      </c>
      <c r="D422">
        <v>40725</v>
      </c>
      <c r="E422" t="s">
        <v>21</v>
      </c>
      <c r="F422" t="s">
        <v>46</v>
      </c>
      <c r="G422" t="s">
        <v>50</v>
      </c>
      <c r="H422" t="s">
        <v>26</v>
      </c>
      <c r="I422" t="str">
        <f t="shared" si="27"/>
        <v>Thursday</v>
      </c>
      <c r="J422" t="str">
        <f t="shared" si="24"/>
        <v>Weekday</v>
      </c>
      <c r="K422" t="str">
        <f t="shared" si="25"/>
        <v>Normal</v>
      </c>
      <c r="L422" t="str">
        <f t="shared" si="26"/>
        <v>Normal</v>
      </c>
    </row>
    <row r="423" spans="1:12" x14ac:dyDescent="0.25">
      <c r="A423" t="s">
        <v>511</v>
      </c>
      <c r="B423" t="s">
        <v>36</v>
      </c>
      <c r="C423" s="1">
        <v>45394</v>
      </c>
      <c r="D423">
        <v>94988</v>
      </c>
      <c r="E423" t="s">
        <v>37</v>
      </c>
      <c r="F423" t="s">
        <v>38</v>
      </c>
      <c r="G423" t="s">
        <v>50</v>
      </c>
      <c r="H423" t="s">
        <v>13</v>
      </c>
      <c r="I423" t="str">
        <f t="shared" si="27"/>
        <v>Friday</v>
      </c>
      <c r="J423" t="str">
        <f t="shared" si="24"/>
        <v>Weekday</v>
      </c>
      <c r="K423" t="str">
        <f t="shared" si="25"/>
        <v>High Value</v>
      </c>
      <c r="L423" t="str">
        <f t="shared" si="26"/>
        <v>Suspicious</v>
      </c>
    </row>
    <row r="424" spans="1:12" x14ac:dyDescent="0.25">
      <c r="A424" t="s">
        <v>512</v>
      </c>
      <c r="B424" t="s">
        <v>175</v>
      </c>
      <c r="C424" s="1">
        <v>45344</v>
      </c>
      <c r="D424">
        <v>6292</v>
      </c>
      <c r="E424" t="s">
        <v>32</v>
      </c>
      <c r="F424" t="s">
        <v>139</v>
      </c>
      <c r="G424" t="s">
        <v>25</v>
      </c>
      <c r="H424" t="s">
        <v>13</v>
      </c>
      <c r="I424" t="str">
        <f t="shared" si="27"/>
        <v>Thursday</v>
      </c>
      <c r="J424" t="str">
        <f t="shared" si="24"/>
        <v>Weekday</v>
      </c>
      <c r="K424" t="str">
        <f t="shared" si="25"/>
        <v>Normal</v>
      </c>
      <c r="L424" t="str">
        <f t="shared" si="26"/>
        <v>Normal</v>
      </c>
    </row>
    <row r="425" spans="1:12" x14ac:dyDescent="0.25">
      <c r="A425" t="s">
        <v>513</v>
      </c>
      <c r="B425" t="s">
        <v>75</v>
      </c>
      <c r="C425" s="1">
        <v>45362</v>
      </c>
      <c r="D425">
        <v>76850</v>
      </c>
      <c r="E425" t="s">
        <v>41</v>
      </c>
      <c r="F425" t="s">
        <v>101</v>
      </c>
      <c r="G425" t="s">
        <v>50</v>
      </c>
      <c r="H425" t="s">
        <v>13</v>
      </c>
      <c r="I425" t="str">
        <f t="shared" si="27"/>
        <v>Monday</v>
      </c>
      <c r="J425" t="str">
        <f t="shared" si="24"/>
        <v>Weekday</v>
      </c>
      <c r="K425" t="str">
        <f t="shared" si="25"/>
        <v>High Value</v>
      </c>
      <c r="L425" t="str">
        <f t="shared" si="26"/>
        <v>Suspicious</v>
      </c>
    </row>
    <row r="426" spans="1:12" x14ac:dyDescent="0.25">
      <c r="A426" t="s">
        <v>514</v>
      </c>
      <c r="B426" t="s">
        <v>249</v>
      </c>
      <c r="C426" s="1">
        <v>45321</v>
      </c>
      <c r="D426">
        <v>50086</v>
      </c>
      <c r="E426" t="s">
        <v>16</v>
      </c>
      <c r="F426" t="s">
        <v>17</v>
      </c>
      <c r="G426" t="s">
        <v>12</v>
      </c>
      <c r="H426" t="s">
        <v>26</v>
      </c>
      <c r="I426" t="str">
        <f t="shared" si="27"/>
        <v>Tuesday</v>
      </c>
      <c r="J426" t="str">
        <f t="shared" si="24"/>
        <v>Weekday</v>
      </c>
      <c r="K426" t="str">
        <f t="shared" si="25"/>
        <v>High Value</v>
      </c>
      <c r="L426" t="str">
        <f t="shared" si="26"/>
        <v>Normal</v>
      </c>
    </row>
    <row r="427" spans="1:12" x14ac:dyDescent="0.25">
      <c r="A427" t="s">
        <v>515</v>
      </c>
      <c r="B427" t="s">
        <v>65</v>
      </c>
      <c r="C427" s="1">
        <v>45412</v>
      </c>
      <c r="D427">
        <v>90064</v>
      </c>
      <c r="E427" t="s">
        <v>21</v>
      </c>
      <c r="F427" t="s">
        <v>46</v>
      </c>
      <c r="G427" t="s">
        <v>50</v>
      </c>
      <c r="H427" t="s">
        <v>26</v>
      </c>
      <c r="I427" t="str">
        <f t="shared" si="27"/>
        <v>Tuesday</v>
      </c>
      <c r="J427" t="str">
        <f t="shared" si="24"/>
        <v>Weekday</v>
      </c>
      <c r="K427" t="str">
        <f t="shared" si="25"/>
        <v>High Value</v>
      </c>
      <c r="L427" t="str">
        <f t="shared" si="26"/>
        <v>Suspicious</v>
      </c>
    </row>
    <row r="428" spans="1:12" x14ac:dyDescent="0.25">
      <c r="A428" t="s">
        <v>516</v>
      </c>
      <c r="B428" t="s">
        <v>65</v>
      </c>
      <c r="C428" s="1">
        <v>45386</v>
      </c>
      <c r="D428">
        <v>64603</v>
      </c>
      <c r="E428" t="s">
        <v>10</v>
      </c>
      <c r="F428" t="s">
        <v>11</v>
      </c>
      <c r="G428" t="s">
        <v>12</v>
      </c>
      <c r="H428" t="s">
        <v>26</v>
      </c>
      <c r="I428" t="str">
        <f t="shared" si="27"/>
        <v>Thursday</v>
      </c>
      <c r="J428" t="str">
        <f t="shared" si="24"/>
        <v>Weekday</v>
      </c>
      <c r="K428" t="str">
        <f t="shared" si="25"/>
        <v>High Value</v>
      </c>
      <c r="L428" t="str">
        <f t="shared" si="26"/>
        <v>Normal</v>
      </c>
    </row>
    <row r="429" spans="1:12" x14ac:dyDescent="0.25">
      <c r="A429" t="s">
        <v>517</v>
      </c>
      <c r="B429" t="s">
        <v>256</v>
      </c>
      <c r="C429" s="1">
        <v>45384</v>
      </c>
      <c r="D429">
        <v>71936</v>
      </c>
      <c r="E429" t="s">
        <v>16</v>
      </c>
      <c r="F429" t="s">
        <v>52</v>
      </c>
      <c r="G429" t="s">
        <v>12</v>
      </c>
      <c r="H429" t="s">
        <v>13</v>
      </c>
      <c r="I429" t="str">
        <f t="shared" si="27"/>
        <v>Tuesday</v>
      </c>
      <c r="J429" t="str">
        <f t="shared" si="24"/>
        <v>Weekday</v>
      </c>
      <c r="K429" t="str">
        <f t="shared" si="25"/>
        <v>High Value</v>
      </c>
      <c r="L429" t="str">
        <f t="shared" si="26"/>
        <v>Normal</v>
      </c>
    </row>
    <row r="430" spans="1:12" x14ac:dyDescent="0.25">
      <c r="A430" t="s">
        <v>518</v>
      </c>
      <c r="B430" t="s">
        <v>138</v>
      </c>
      <c r="C430" s="1">
        <v>45399</v>
      </c>
      <c r="D430">
        <v>111278</v>
      </c>
      <c r="E430" t="s">
        <v>21</v>
      </c>
      <c r="F430" t="s">
        <v>22</v>
      </c>
      <c r="G430" t="s">
        <v>25</v>
      </c>
      <c r="H430" t="s">
        <v>13</v>
      </c>
      <c r="I430" t="str">
        <f t="shared" si="27"/>
        <v>Wednesday</v>
      </c>
      <c r="J430" t="str">
        <f t="shared" si="24"/>
        <v>Weekday</v>
      </c>
      <c r="K430" t="str">
        <f t="shared" si="25"/>
        <v>High Value</v>
      </c>
      <c r="L430" t="str">
        <f t="shared" si="26"/>
        <v>Suspicious</v>
      </c>
    </row>
    <row r="431" spans="1:12" x14ac:dyDescent="0.25">
      <c r="A431" t="s">
        <v>519</v>
      </c>
      <c r="B431" t="s">
        <v>112</v>
      </c>
      <c r="C431" s="1">
        <v>45309</v>
      </c>
      <c r="D431">
        <v>110734</v>
      </c>
      <c r="E431" t="s">
        <v>41</v>
      </c>
      <c r="F431" t="s">
        <v>98</v>
      </c>
      <c r="G431" t="s">
        <v>34</v>
      </c>
      <c r="H431" t="s">
        <v>13</v>
      </c>
      <c r="I431" t="str">
        <f t="shared" si="27"/>
        <v>Thursday</v>
      </c>
      <c r="J431" t="str">
        <f t="shared" si="24"/>
        <v>Weekday</v>
      </c>
      <c r="K431" t="str">
        <f t="shared" si="25"/>
        <v>High Value</v>
      </c>
      <c r="L431" t="str">
        <f t="shared" si="26"/>
        <v>Suspicious</v>
      </c>
    </row>
    <row r="432" spans="1:12" x14ac:dyDescent="0.25">
      <c r="A432" t="s">
        <v>520</v>
      </c>
      <c r="B432" t="s">
        <v>63</v>
      </c>
      <c r="C432" s="1">
        <v>45356</v>
      </c>
      <c r="D432">
        <v>60070</v>
      </c>
      <c r="E432" t="s">
        <v>41</v>
      </c>
      <c r="F432" t="s">
        <v>61</v>
      </c>
      <c r="G432" t="s">
        <v>34</v>
      </c>
      <c r="H432" t="s">
        <v>26</v>
      </c>
      <c r="I432" t="str">
        <f t="shared" si="27"/>
        <v>Tuesday</v>
      </c>
      <c r="J432" t="str">
        <f t="shared" si="24"/>
        <v>Weekday</v>
      </c>
      <c r="K432" t="str">
        <f t="shared" si="25"/>
        <v>High Value</v>
      </c>
      <c r="L432" t="str">
        <f t="shared" si="26"/>
        <v>Normal</v>
      </c>
    </row>
    <row r="433" spans="1:12" x14ac:dyDescent="0.25">
      <c r="A433" t="s">
        <v>521</v>
      </c>
      <c r="B433" t="s">
        <v>136</v>
      </c>
      <c r="C433" s="1">
        <v>45294</v>
      </c>
      <c r="D433">
        <v>1166</v>
      </c>
      <c r="E433" t="s">
        <v>10</v>
      </c>
      <c r="F433" t="s">
        <v>68</v>
      </c>
      <c r="G433" t="s">
        <v>18</v>
      </c>
      <c r="H433" t="s">
        <v>26</v>
      </c>
      <c r="I433" t="str">
        <f t="shared" si="27"/>
        <v>Wednesday</v>
      </c>
      <c r="J433" t="str">
        <f t="shared" si="24"/>
        <v>Weekday</v>
      </c>
      <c r="K433" t="str">
        <f t="shared" si="25"/>
        <v>Normal</v>
      </c>
      <c r="L433" t="str">
        <f t="shared" si="26"/>
        <v>Normal</v>
      </c>
    </row>
    <row r="434" spans="1:12" x14ac:dyDescent="0.25">
      <c r="A434" t="s">
        <v>522</v>
      </c>
      <c r="B434" t="s">
        <v>86</v>
      </c>
      <c r="C434" s="1">
        <v>45359</v>
      </c>
      <c r="D434">
        <v>94959</v>
      </c>
      <c r="E434" t="s">
        <v>41</v>
      </c>
      <c r="F434" t="s">
        <v>61</v>
      </c>
      <c r="G434" t="s">
        <v>18</v>
      </c>
      <c r="H434" t="s">
        <v>26</v>
      </c>
      <c r="I434" t="str">
        <f t="shared" si="27"/>
        <v>Friday</v>
      </c>
      <c r="J434" t="str">
        <f t="shared" si="24"/>
        <v>Weekday</v>
      </c>
      <c r="K434" t="str">
        <f t="shared" si="25"/>
        <v>High Value</v>
      </c>
      <c r="L434" t="str">
        <f t="shared" si="26"/>
        <v>Suspicious</v>
      </c>
    </row>
    <row r="435" spans="1:12" x14ac:dyDescent="0.25">
      <c r="A435" t="s">
        <v>523</v>
      </c>
      <c r="B435" t="s">
        <v>82</v>
      </c>
      <c r="C435" s="1">
        <v>45396</v>
      </c>
      <c r="D435">
        <v>91769</v>
      </c>
      <c r="E435" t="s">
        <v>41</v>
      </c>
      <c r="F435" t="s">
        <v>101</v>
      </c>
      <c r="G435" t="s">
        <v>12</v>
      </c>
      <c r="H435" t="s">
        <v>13</v>
      </c>
      <c r="I435" t="str">
        <f t="shared" si="27"/>
        <v>Sunday</v>
      </c>
      <c r="J435" t="str">
        <f t="shared" si="24"/>
        <v>Weekend</v>
      </c>
      <c r="K435" t="str">
        <f t="shared" si="25"/>
        <v>High Value</v>
      </c>
      <c r="L435" t="str">
        <f t="shared" si="26"/>
        <v>Suspicious</v>
      </c>
    </row>
    <row r="436" spans="1:12" x14ac:dyDescent="0.25">
      <c r="A436" t="s">
        <v>524</v>
      </c>
      <c r="B436" t="s">
        <v>91</v>
      </c>
      <c r="C436" s="1">
        <v>45311</v>
      </c>
      <c r="D436">
        <v>31884</v>
      </c>
      <c r="E436" t="s">
        <v>41</v>
      </c>
      <c r="F436" t="s">
        <v>98</v>
      </c>
      <c r="G436" t="s">
        <v>18</v>
      </c>
      <c r="H436" t="s">
        <v>26</v>
      </c>
      <c r="I436" t="str">
        <f t="shared" si="27"/>
        <v>Saturday</v>
      </c>
      <c r="J436" t="str">
        <f t="shared" si="24"/>
        <v>Weekend</v>
      </c>
      <c r="K436" t="str">
        <f t="shared" si="25"/>
        <v>Normal</v>
      </c>
      <c r="L436" t="str">
        <f t="shared" si="26"/>
        <v>Normal</v>
      </c>
    </row>
    <row r="437" spans="1:12" x14ac:dyDescent="0.25">
      <c r="A437" t="s">
        <v>525</v>
      </c>
      <c r="B437" t="s">
        <v>31</v>
      </c>
      <c r="C437" s="1">
        <v>45393</v>
      </c>
      <c r="D437">
        <v>52322</v>
      </c>
      <c r="E437" t="s">
        <v>32</v>
      </c>
      <c r="F437" t="s">
        <v>79</v>
      </c>
      <c r="G437" t="s">
        <v>50</v>
      </c>
      <c r="H437" t="s">
        <v>26</v>
      </c>
      <c r="I437" t="str">
        <f t="shared" si="27"/>
        <v>Thursday</v>
      </c>
      <c r="J437" t="str">
        <f t="shared" si="24"/>
        <v>Weekday</v>
      </c>
      <c r="K437" t="str">
        <f t="shared" si="25"/>
        <v>High Value</v>
      </c>
      <c r="L437" t="str">
        <f t="shared" si="26"/>
        <v>Normal</v>
      </c>
    </row>
    <row r="438" spans="1:12" x14ac:dyDescent="0.25">
      <c r="A438" t="s">
        <v>526</v>
      </c>
      <c r="B438" t="s">
        <v>88</v>
      </c>
      <c r="C438" s="1">
        <v>45323</v>
      </c>
      <c r="D438">
        <v>91688</v>
      </c>
      <c r="E438" t="s">
        <v>37</v>
      </c>
      <c r="F438" t="s">
        <v>58</v>
      </c>
      <c r="G438" t="s">
        <v>50</v>
      </c>
      <c r="H438" t="s">
        <v>13</v>
      </c>
      <c r="I438" t="str">
        <f t="shared" si="27"/>
        <v>Thursday</v>
      </c>
      <c r="J438" t="str">
        <f t="shared" si="24"/>
        <v>Weekday</v>
      </c>
      <c r="K438" t="str">
        <f t="shared" si="25"/>
        <v>High Value</v>
      </c>
      <c r="L438" t="str">
        <f t="shared" si="26"/>
        <v>Suspicious</v>
      </c>
    </row>
    <row r="439" spans="1:12" x14ac:dyDescent="0.25">
      <c r="A439" t="s">
        <v>527</v>
      </c>
      <c r="B439" t="s">
        <v>65</v>
      </c>
      <c r="C439" s="1">
        <v>45389</v>
      </c>
      <c r="D439">
        <v>4452</v>
      </c>
      <c r="E439" t="s">
        <v>10</v>
      </c>
      <c r="F439" t="s">
        <v>49</v>
      </c>
      <c r="G439" t="s">
        <v>43</v>
      </c>
      <c r="H439" t="s">
        <v>26</v>
      </c>
      <c r="I439" t="str">
        <f t="shared" si="27"/>
        <v>Sunday</v>
      </c>
      <c r="J439" t="str">
        <f t="shared" si="24"/>
        <v>Weekend</v>
      </c>
      <c r="K439" t="str">
        <f t="shared" si="25"/>
        <v>Normal</v>
      </c>
      <c r="L439" t="str">
        <f t="shared" si="26"/>
        <v>Normal</v>
      </c>
    </row>
    <row r="440" spans="1:12" x14ac:dyDescent="0.25">
      <c r="A440" t="s">
        <v>528</v>
      </c>
      <c r="B440" t="s">
        <v>67</v>
      </c>
      <c r="C440" s="1">
        <v>45352</v>
      </c>
      <c r="D440">
        <v>7655</v>
      </c>
      <c r="E440" t="s">
        <v>37</v>
      </c>
      <c r="F440" t="s">
        <v>58</v>
      </c>
      <c r="G440" t="s">
        <v>25</v>
      </c>
      <c r="H440" t="s">
        <v>13</v>
      </c>
      <c r="I440" t="str">
        <f t="shared" si="27"/>
        <v>Friday</v>
      </c>
      <c r="J440" t="str">
        <f t="shared" si="24"/>
        <v>Weekday</v>
      </c>
      <c r="K440" t="str">
        <f t="shared" si="25"/>
        <v>Normal</v>
      </c>
      <c r="L440" t="str">
        <f t="shared" si="26"/>
        <v>Normal</v>
      </c>
    </row>
    <row r="441" spans="1:12" x14ac:dyDescent="0.25">
      <c r="A441" t="s">
        <v>529</v>
      </c>
      <c r="B441" t="s">
        <v>136</v>
      </c>
      <c r="C441" s="1">
        <v>45400</v>
      </c>
      <c r="D441">
        <v>57173</v>
      </c>
      <c r="E441" t="s">
        <v>41</v>
      </c>
      <c r="F441" t="s">
        <v>61</v>
      </c>
      <c r="G441" t="s">
        <v>18</v>
      </c>
      <c r="H441" t="s">
        <v>13</v>
      </c>
      <c r="I441" t="str">
        <f t="shared" si="27"/>
        <v>Thursday</v>
      </c>
      <c r="J441" t="str">
        <f t="shared" si="24"/>
        <v>Weekday</v>
      </c>
      <c r="K441" t="str">
        <f t="shared" si="25"/>
        <v>High Value</v>
      </c>
      <c r="L441" t="str">
        <f t="shared" si="26"/>
        <v>Normal</v>
      </c>
    </row>
    <row r="442" spans="1:12" x14ac:dyDescent="0.25">
      <c r="A442" t="s">
        <v>530</v>
      </c>
      <c r="B442" t="s">
        <v>138</v>
      </c>
      <c r="C442" s="1">
        <v>45321</v>
      </c>
      <c r="D442">
        <v>28010</v>
      </c>
      <c r="E442" t="s">
        <v>21</v>
      </c>
      <c r="F442" t="s">
        <v>46</v>
      </c>
      <c r="G442" t="s">
        <v>50</v>
      </c>
      <c r="H442" t="s">
        <v>13</v>
      </c>
      <c r="I442" t="str">
        <f t="shared" si="27"/>
        <v>Tuesday</v>
      </c>
      <c r="J442" t="str">
        <f t="shared" si="24"/>
        <v>Weekday</v>
      </c>
      <c r="K442" t="str">
        <f t="shared" si="25"/>
        <v>Normal</v>
      </c>
      <c r="L442" t="str">
        <f t="shared" si="26"/>
        <v>Normal</v>
      </c>
    </row>
    <row r="443" spans="1:12" x14ac:dyDescent="0.25">
      <c r="A443" t="s">
        <v>531</v>
      </c>
      <c r="B443" t="s">
        <v>227</v>
      </c>
      <c r="C443" s="1">
        <v>45410</v>
      </c>
      <c r="D443">
        <v>37049</v>
      </c>
      <c r="E443" t="s">
        <v>41</v>
      </c>
      <c r="F443" t="s">
        <v>42</v>
      </c>
      <c r="G443" t="s">
        <v>12</v>
      </c>
      <c r="H443" t="s">
        <v>26</v>
      </c>
      <c r="I443" t="str">
        <f t="shared" si="27"/>
        <v>Sunday</v>
      </c>
      <c r="J443" t="str">
        <f t="shared" si="24"/>
        <v>Weekend</v>
      </c>
      <c r="K443" t="str">
        <f t="shared" si="25"/>
        <v>Normal</v>
      </c>
      <c r="L443" t="str">
        <f t="shared" si="26"/>
        <v>Normal</v>
      </c>
    </row>
    <row r="444" spans="1:12" x14ac:dyDescent="0.25">
      <c r="A444" t="s">
        <v>532</v>
      </c>
      <c r="B444" t="s">
        <v>63</v>
      </c>
      <c r="C444" s="1">
        <v>45367</v>
      </c>
      <c r="D444">
        <v>19199</v>
      </c>
      <c r="E444" t="s">
        <v>41</v>
      </c>
      <c r="F444" t="s">
        <v>101</v>
      </c>
      <c r="G444" t="s">
        <v>34</v>
      </c>
      <c r="H444" t="s">
        <v>26</v>
      </c>
      <c r="I444" t="str">
        <f t="shared" si="27"/>
        <v>Saturday</v>
      </c>
      <c r="J444" t="str">
        <f t="shared" si="24"/>
        <v>Weekend</v>
      </c>
      <c r="K444" t="str">
        <f t="shared" si="25"/>
        <v>Normal</v>
      </c>
      <c r="L444" t="str">
        <f t="shared" si="26"/>
        <v>Normal</v>
      </c>
    </row>
    <row r="445" spans="1:12" x14ac:dyDescent="0.25">
      <c r="A445" t="s">
        <v>533</v>
      </c>
      <c r="B445" t="s">
        <v>88</v>
      </c>
      <c r="C445" s="1">
        <v>45322</v>
      </c>
      <c r="D445">
        <v>74577</v>
      </c>
      <c r="E445" t="s">
        <v>16</v>
      </c>
      <c r="F445" t="s">
        <v>52</v>
      </c>
      <c r="G445" t="s">
        <v>25</v>
      </c>
      <c r="H445" t="s">
        <v>26</v>
      </c>
      <c r="I445" t="str">
        <f t="shared" si="27"/>
        <v>Wednesday</v>
      </c>
      <c r="J445" t="str">
        <f t="shared" si="24"/>
        <v>Weekday</v>
      </c>
      <c r="K445" t="str">
        <f t="shared" si="25"/>
        <v>High Value</v>
      </c>
      <c r="L445" t="str">
        <f t="shared" si="26"/>
        <v>Normal</v>
      </c>
    </row>
    <row r="446" spans="1:12" x14ac:dyDescent="0.25">
      <c r="A446" t="s">
        <v>534</v>
      </c>
      <c r="B446" t="s">
        <v>72</v>
      </c>
      <c r="C446" s="1">
        <v>45386</v>
      </c>
      <c r="D446">
        <v>18643</v>
      </c>
      <c r="E446" t="s">
        <v>37</v>
      </c>
      <c r="F446" t="s">
        <v>58</v>
      </c>
      <c r="G446" t="s">
        <v>18</v>
      </c>
      <c r="H446" t="s">
        <v>26</v>
      </c>
      <c r="I446" t="str">
        <f t="shared" si="27"/>
        <v>Thursday</v>
      </c>
      <c r="J446" t="str">
        <f t="shared" si="24"/>
        <v>Weekday</v>
      </c>
      <c r="K446" t="str">
        <f t="shared" si="25"/>
        <v>Normal</v>
      </c>
      <c r="L446" t="str">
        <f t="shared" si="26"/>
        <v>Normal</v>
      </c>
    </row>
    <row r="447" spans="1:12" x14ac:dyDescent="0.25">
      <c r="A447" t="s">
        <v>535</v>
      </c>
      <c r="B447" t="s">
        <v>36</v>
      </c>
      <c r="C447" s="1">
        <v>45347</v>
      </c>
      <c r="D447">
        <v>30727</v>
      </c>
      <c r="E447" t="s">
        <v>41</v>
      </c>
      <c r="F447" t="s">
        <v>42</v>
      </c>
      <c r="G447" t="s">
        <v>50</v>
      </c>
      <c r="H447" t="s">
        <v>26</v>
      </c>
      <c r="I447" t="str">
        <f t="shared" si="27"/>
        <v>Sunday</v>
      </c>
      <c r="J447" t="str">
        <f t="shared" si="24"/>
        <v>Weekend</v>
      </c>
      <c r="K447" t="str">
        <f t="shared" si="25"/>
        <v>Normal</v>
      </c>
      <c r="L447" t="str">
        <f t="shared" si="26"/>
        <v>Normal</v>
      </c>
    </row>
    <row r="448" spans="1:12" x14ac:dyDescent="0.25">
      <c r="A448" t="s">
        <v>536</v>
      </c>
      <c r="B448" t="s">
        <v>86</v>
      </c>
      <c r="C448" s="1">
        <v>45373</v>
      </c>
      <c r="D448">
        <v>36125</v>
      </c>
      <c r="E448" t="s">
        <v>32</v>
      </c>
      <c r="F448" t="s">
        <v>92</v>
      </c>
      <c r="G448" t="s">
        <v>43</v>
      </c>
      <c r="H448" t="s">
        <v>13</v>
      </c>
      <c r="I448" t="str">
        <f t="shared" si="27"/>
        <v>Friday</v>
      </c>
      <c r="J448" t="str">
        <f t="shared" si="24"/>
        <v>Weekday</v>
      </c>
      <c r="K448" t="str">
        <f t="shared" si="25"/>
        <v>Normal</v>
      </c>
      <c r="L448" t="str">
        <f t="shared" si="26"/>
        <v>Normal</v>
      </c>
    </row>
    <row r="449" spans="1:12" x14ac:dyDescent="0.25">
      <c r="A449" t="s">
        <v>537</v>
      </c>
      <c r="B449" t="s">
        <v>67</v>
      </c>
      <c r="C449" s="1">
        <v>45412</v>
      </c>
      <c r="D449">
        <v>49507</v>
      </c>
      <c r="E449" t="s">
        <v>32</v>
      </c>
      <c r="F449" t="s">
        <v>92</v>
      </c>
      <c r="G449" t="s">
        <v>12</v>
      </c>
      <c r="H449" t="s">
        <v>26</v>
      </c>
      <c r="I449" t="str">
        <f t="shared" si="27"/>
        <v>Tuesday</v>
      </c>
      <c r="J449" t="str">
        <f t="shared" si="24"/>
        <v>Weekday</v>
      </c>
      <c r="K449" t="str">
        <f t="shared" si="25"/>
        <v>Normal</v>
      </c>
      <c r="L449" t="str">
        <f t="shared" si="26"/>
        <v>Normal</v>
      </c>
    </row>
    <row r="450" spans="1:12" x14ac:dyDescent="0.25">
      <c r="A450" t="s">
        <v>538</v>
      </c>
      <c r="B450" t="s">
        <v>84</v>
      </c>
      <c r="C450" s="1">
        <v>45371</v>
      </c>
      <c r="D450">
        <v>39015</v>
      </c>
      <c r="E450" t="s">
        <v>41</v>
      </c>
      <c r="F450" t="s">
        <v>98</v>
      </c>
      <c r="G450" t="s">
        <v>25</v>
      </c>
      <c r="H450" t="s">
        <v>13</v>
      </c>
      <c r="I450" t="str">
        <f t="shared" si="27"/>
        <v>Wednesday</v>
      </c>
      <c r="J450" t="str">
        <f t="shared" si="24"/>
        <v>Weekday</v>
      </c>
      <c r="K450" t="str">
        <f t="shared" si="25"/>
        <v>Normal</v>
      </c>
      <c r="L450" t="str">
        <f t="shared" si="26"/>
        <v>Normal</v>
      </c>
    </row>
    <row r="451" spans="1:12" x14ac:dyDescent="0.25">
      <c r="A451" t="s">
        <v>539</v>
      </c>
      <c r="B451" t="s">
        <v>31</v>
      </c>
      <c r="C451" s="1">
        <v>45311</v>
      </c>
      <c r="D451">
        <v>50107</v>
      </c>
      <c r="E451" t="s">
        <v>41</v>
      </c>
      <c r="F451" t="s">
        <v>98</v>
      </c>
      <c r="G451" t="s">
        <v>25</v>
      </c>
      <c r="H451" t="s">
        <v>26</v>
      </c>
      <c r="I451" t="str">
        <f t="shared" si="27"/>
        <v>Saturday</v>
      </c>
      <c r="J451" t="str">
        <f t="shared" ref="J451:J501" si="28">IF(OR(I451="Saturday",I451="Sunday"),"Weekend","Weekday")</f>
        <v>Weekend</v>
      </c>
      <c r="K451" t="str">
        <f t="shared" ref="K451:K501" si="29">IF(D451&gt;50000,"High Value","Normal")</f>
        <v>High Value</v>
      </c>
      <c r="L451" t="str">
        <f t="shared" ref="L451:L501" si="30">IF(D451&gt;75000,"Suspicious","Normal")</f>
        <v>Normal</v>
      </c>
    </row>
    <row r="452" spans="1:12" x14ac:dyDescent="0.25">
      <c r="A452" t="s">
        <v>540</v>
      </c>
      <c r="B452" t="s">
        <v>54</v>
      </c>
      <c r="C452" s="1">
        <v>45305</v>
      </c>
      <c r="D452">
        <v>12295</v>
      </c>
      <c r="E452" t="s">
        <v>32</v>
      </c>
      <c r="F452" t="s">
        <v>79</v>
      </c>
      <c r="G452" t="s">
        <v>50</v>
      </c>
      <c r="H452" t="s">
        <v>26</v>
      </c>
      <c r="I452" t="str">
        <f t="shared" si="27"/>
        <v>Sunday</v>
      </c>
      <c r="J452" t="str">
        <f t="shared" si="28"/>
        <v>Weekend</v>
      </c>
      <c r="K452" t="str">
        <f t="shared" si="29"/>
        <v>Normal</v>
      </c>
      <c r="L452" t="str">
        <f t="shared" si="30"/>
        <v>Normal</v>
      </c>
    </row>
    <row r="453" spans="1:12" x14ac:dyDescent="0.25">
      <c r="A453" t="s">
        <v>541</v>
      </c>
      <c r="B453" t="s">
        <v>72</v>
      </c>
      <c r="C453" s="1">
        <v>45326</v>
      </c>
      <c r="D453">
        <v>13699</v>
      </c>
      <c r="E453" t="s">
        <v>32</v>
      </c>
      <c r="F453" t="s">
        <v>139</v>
      </c>
      <c r="G453" t="s">
        <v>34</v>
      </c>
      <c r="H453" t="s">
        <v>13</v>
      </c>
      <c r="I453" t="str">
        <f t="shared" ref="I453:I501" si="31">TEXT(C453,"dddd")</f>
        <v>Sunday</v>
      </c>
      <c r="J453" t="str">
        <f t="shared" si="28"/>
        <v>Weekend</v>
      </c>
      <c r="K453" t="str">
        <f t="shared" si="29"/>
        <v>Normal</v>
      </c>
      <c r="L453" t="str">
        <f t="shared" si="30"/>
        <v>Normal</v>
      </c>
    </row>
    <row r="454" spans="1:12" x14ac:dyDescent="0.25">
      <c r="A454" t="s">
        <v>542</v>
      </c>
      <c r="B454" t="s">
        <v>28</v>
      </c>
      <c r="C454" s="1">
        <v>45363</v>
      </c>
      <c r="D454">
        <v>73010</v>
      </c>
      <c r="E454" t="s">
        <v>37</v>
      </c>
      <c r="F454" t="s">
        <v>38</v>
      </c>
      <c r="G454" t="s">
        <v>34</v>
      </c>
      <c r="H454" t="s">
        <v>13</v>
      </c>
      <c r="I454" t="str">
        <f t="shared" si="31"/>
        <v>Tuesday</v>
      </c>
      <c r="J454" t="str">
        <f t="shared" si="28"/>
        <v>Weekday</v>
      </c>
      <c r="K454" t="str">
        <f t="shared" si="29"/>
        <v>High Value</v>
      </c>
      <c r="L454" t="str">
        <f t="shared" si="30"/>
        <v>Normal</v>
      </c>
    </row>
    <row r="455" spans="1:12" x14ac:dyDescent="0.25">
      <c r="A455" t="s">
        <v>543</v>
      </c>
      <c r="B455" t="s">
        <v>265</v>
      </c>
      <c r="C455" s="1">
        <v>45362</v>
      </c>
      <c r="D455">
        <v>12498</v>
      </c>
      <c r="E455" t="s">
        <v>41</v>
      </c>
      <c r="F455" t="s">
        <v>61</v>
      </c>
      <c r="G455" t="s">
        <v>43</v>
      </c>
      <c r="H455" t="s">
        <v>13</v>
      </c>
      <c r="I455" t="str">
        <f t="shared" si="31"/>
        <v>Monday</v>
      </c>
      <c r="J455" t="str">
        <f t="shared" si="28"/>
        <v>Weekday</v>
      </c>
      <c r="K455" t="str">
        <f t="shared" si="29"/>
        <v>Normal</v>
      </c>
      <c r="L455" t="str">
        <f t="shared" si="30"/>
        <v>Normal</v>
      </c>
    </row>
    <row r="456" spans="1:12" x14ac:dyDescent="0.25">
      <c r="A456" t="s">
        <v>544</v>
      </c>
      <c r="B456" t="s">
        <v>112</v>
      </c>
      <c r="C456" s="1">
        <v>45341</v>
      </c>
      <c r="D456">
        <v>102427</v>
      </c>
      <c r="E456" t="s">
        <v>32</v>
      </c>
      <c r="F456" t="s">
        <v>79</v>
      </c>
      <c r="G456" t="s">
        <v>25</v>
      </c>
      <c r="H456" t="s">
        <v>13</v>
      </c>
      <c r="I456" t="str">
        <f t="shared" si="31"/>
        <v>Monday</v>
      </c>
      <c r="J456" t="str">
        <f t="shared" si="28"/>
        <v>Weekday</v>
      </c>
      <c r="K456" t="str">
        <f t="shared" si="29"/>
        <v>High Value</v>
      </c>
      <c r="L456" t="str">
        <f t="shared" si="30"/>
        <v>Suspicious</v>
      </c>
    </row>
    <row r="457" spans="1:12" x14ac:dyDescent="0.25">
      <c r="A457" t="s">
        <v>545</v>
      </c>
      <c r="B457" t="s">
        <v>91</v>
      </c>
      <c r="C457" s="1">
        <v>45313</v>
      </c>
      <c r="D457">
        <v>90125</v>
      </c>
      <c r="E457" t="s">
        <v>21</v>
      </c>
      <c r="F457" t="s">
        <v>46</v>
      </c>
      <c r="G457" t="s">
        <v>12</v>
      </c>
      <c r="H457" t="s">
        <v>13</v>
      </c>
      <c r="I457" t="str">
        <f t="shared" si="31"/>
        <v>Monday</v>
      </c>
      <c r="J457" t="str">
        <f t="shared" si="28"/>
        <v>Weekday</v>
      </c>
      <c r="K457" t="str">
        <f t="shared" si="29"/>
        <v>High Value</v>
      </c>
      <c r="L457" t="str">
        <f t="shared" si="30"/>
        <v>Suspicious</v>
      </c>
    </row>
    <row r="458" spans="1:12" x14ac:dyDescent="0.25">
      <c r="A458" t="s">
        <v>546</v>
      </c>
      <c r="B458" t="s">
        <v>94</v>
      </c>
      <c r="C458" s="1">
        <v>45326</v>
      </c>
      <c r="D458">
        <v>64934</v>
      </c>
      <c r="E458" t="s">
        <v>32</v>
      </c>
      <c r="F458" t="s">
        <v>139</v>
      </c>
      <c r="G458" t="s">
        <v>34</v>
      </c>
      <c r="H458" t="s">
        <v>13</v>
      </c>
      <c r="I458" t="str">
        <f t="shared" si="31"/>
        <v>Sunday</v>
      </c>
      <c r="J458" t="str">
        <f t="shared" si="28"/>
        <v>Weekend</v>
      </c>
      <c r="K458" t="str">
        <f t="shared" si="29"/>
        <v>High Value</v>
      </c>
      <c r="L458" t="str">
        <f t="shared" si="30"/>
        <v>Normal</v>
      </c>
    </row>
    <row r="459" spans="1:12" x14ac:dyDescent="0.25">
      <c r="A459" t="s">
        <v>547</v>
      </c>
      <c r="B459" t="s">
        <v>31</v>
      </c>
      <c r="C459" s="1">
        <v>45345</v>
      </c>
      <c r="D459">
        <v>39589</v>
      </c>
      <c r="E459" t="s">
        <v>37</v>
      </c>
      <c r="F459" t="s">
        <v>38</v>
      </c>
      <c r="G459" t="s">
        <v>34</v>
      </c>
      <c r="H459" t="s">
        <v>26</v>
      </c>
      <c r="I459" t="str">
        <f t="shared" si="31"/>
        <v>Friday</v>
      </c>
      <c r="J459" t="str">
        <f t="shared" si="28"/>
        <v>Weekday</v>
      </c>
      <c r="K459" t="str">
        <f t="shared" si="29"/>
        <v>Normal</v>
      </c>
      <c r="L459" t="str">
        <f t="shared" si="30"/>
        <v>Normal</v>
      </c>
    </row>
    <row r="460" spans="1:12" x14ac:dyDescent="0.25">
      <c r="A460" t="s">
        <v>548</v>
      </c>
      <c r="B460" t="s">
        <v>109</v>
      </c>
      <c r="C460" s="1">
        <v>45384</v>
      </c>
      <c r="D460">
        <v>82224</v>
      </c>
      <c r="E460" t="s">
        <v>32</v>
      </c>
      <c r="F460" t="s">
        <v>92</v>
      </c>
      <c r="G460" t="s">
        <v>18</v>
      </c>
      <c r="H460" t="s">
        <v>13</v>
      </c>
      <c r="I460" t="str">
        <f t="shared" si="31"/>
        <v>Tuesday</v>
      </c>
      <c r="J460" t="str">
        <f t="shared" si="28"/>
        <v>Weekday</v>
      </c>
      <c r="K460" t="str">
        <f t="shared" si="29"/>
        <v>High Value</v>
      </c>
      <c r="L460" t="str">
        <f t="shared" si="30"/>
        <v>Suspicious</v>
      </c>
    </row>
    <row r="461" spans="1:12" x14ac:dyDescent="0.25">
      <c r="A461" t="s">
        <v>549</v>
      </c>
      <c r="B461" t="s">
        <v>36</v>
      </c>
      <c r="C461" s="1">
        <v>45309</v>
      </c>
      <c r="D461">
        <v>40232</v>
      </c>
      <c r="E461" t="s">
        <v>37</v>
      </c>
      <c r="F461" t="s">
        <v>58</v>
      </c>
      <c r="G461" t="s">
        <v>43</v>
      </c>
      <c r="H461" t="s">
        <v>26</v>
      </c>
      <c r="I461" t="str">
        <f t="shared" si="31"/>
        <v>Thursday</v>
      </c>
      <c r="J461" t="str">
        <f t="shared" si="28"/>
        <v>Weekday</v>
      </c>
      <c r="K461" t="str">
        <f t="shared" si="29"/>
        <v>Normal</v>
      </c>
      <c r="L461" t="str">
        <f t="shared" si="30"/>
        <v>Normal</v>
      </c>
    </row>
    <row r="462" spans="1:12" x14ac:dyDescent="0.25">
      <c r="A462" t="s">
        <v>550</v>
      </c>
      <c r="B462" t="s">
        <v>114</v>
      </c>
      <c r="C462" s="1">
        <v>45394</v>
      </c>
      <c r="D462">
        <v>113310</v>
      </c>
      <c r="E462" t="s">
        <v>21</v>
      </c>
      <c r="F462" t="s">
        <v>46</v>
      </c>
      <c r="G462" t="s">
        <v>43</v>
      </c>
      <c r="H462" t="s">
        <v>26</v>
      </c>
      <c r="I462" t="str">
        <f t="shared" si="31"/>
        <v>Friday</v>
      </c>
      <c r="J462" t="str">
        <f t="shared" si="28"/>
        <v>Weekday</v>
      </c>
      <c r="K462" t="str">
        <f t="shared" si="29"/>
        <v>High Value</v>
      </c>
      <c r="L462" t="str">
        <f t="shared" si="30"/>
        <v>Suspicious</v>
      </c>
    </row>
    <row r="463" spans="1:12" x14ac:dyDescent="0.25">
      <c r="A463" t="s">
        <v>551</v>
      </c>
      <c r="B463" t="s">
        <v>65</v>
      </c>
      <c r="C463" s="1">
        <v>45368</v>
      </c>
      <c r="D463">
        <v>18142</v>
      </c>
      <c r="E463" t="s">
        <v>37</v>
      </c>
      <c r="F463" t="s">
        <v>38</v>
      </c>
      <c r="G463" t="s">
        <v>50</v>
      </c>
      <c r="H463" t="s">
        <v>13</v>
      </c>
      <c r="I463" t="str">
        <f t="shared" si="31"/>
        <v>Sunday</v>
      </c>
      <c r="J463" t="str">
        <f t="shared" si="28"/>
        <v>Weekend</v>
      </c>
      <c r="K463" t="str">
        <f t="shared" si="29"/>
        <v>Normal</v>
      </c>
      <c r="L463" t="str">
        <f t="shared" si="30"/>
        <v>Normal</v>
      </c>
    </row>
    <row r="464" spans="1:12" x14ac:dyDescent="0.25">
      <c r="A464" t="s">
        <v>552</v>
      </c>
      <c r="B464" t="s">
        <v>175</v>
      </c>
      <c r="C464" s="1">
        <v>45314</v>
      </c>
      <c r="D464">
        <v>52498</v>
      </c>
      <c r="E464" t="s">
        <v>37</v>
      </c>
      <c r="F464" t="s">
        <v>38</v>
      </c>
      <c r="G464" t="s">
        <v>50</v>
      </c>
      <c r="H464" t="s">
        <v>26</v>
      </c>
      <c r="I464" t="str">
        <f t="shared" si="31"/>
        <v>Tuesday</v>
      </c>
      <c r="J464" t="str">
        <f t="shared" si="28"/>
        <v>Weekday</v>
      </c>
      <c r="K464" t="str">
        <f t="shared" si="29"/>
        <v>High Value</v>
      </c>
      <c r="L464" t="str">
        <f t="shared" si="30"/>
        <v>Normal</v>
      </c>
    </row>
    <row r="465" spans="1:12" x14ac:dyDescent="0.25">
      <c r="A465" t="s">
        <v>553</v>
      </c>
      <c r="B465" t="s">
        <v>109</v>
      </c>
      <c r="C465" s="1">
        <v>45333</v>
      </c>
      <c r="D465">
        <v>49590</v>
      </c>
      <c r="E465" t="s">
        <v>21</v>
      </c>
      <c r="F465" t="s">
        <v>46</v>
      </c>
      <c r="G465" t="s">
        <v>43</v>
      </c>
      <c r="H465" t="s">
        <v>26</v>
      </c>
      <c r="I465" t="str">
        <f t="shared" si="31"/>
        <v>Sunday</v>
      </c>
      <c r="J465" t="str">
        <f t="shared" si="28"/>
        <v>Weekend</v>
      </c>
      <c r="K465" t="str">
        <f t="shared" si="29"/>
        <v>Normal</v>
      </c>
      <c r="L465" t="str">
        <f t="shared" si="30"/>
        <v>Normal</v>
      </c>
    </row>
    <row r="466" spans="1:12" x14ac:dyDescent="0.25">
      <c r="A466" t="s">
        <v>554</v>
      </c>
      <c r="B466" t="s">
        <v>88</v>
      </c>
      <c r="C466" s="1">
        <v>45317</v>
      </c>
      <c r="D466">
        <v>77924</v>
      </c>
      <c r="E466" t="s">
        <v>41</v>
      </c>
      <c r="F466" t="s">
        <v>98</v>
      </c>
      <c r="G466" t="s">
        <v>25</v>
      </c>
      <c r="H466" t="s">
        <v>13</v>
      </c>
      <c r="I466" t="str">
        <f t="shared" si="31"/>
        <v>Friday</v>
      </c>
      <c r="J466" t="str">
        <f t="shared" si="28"/>
        <v>Weekday</v>
      </c>
      <c r="K466" t="str">
        <f t="shared" si="29"/>
        <v>High Value</v>
      </c>
      <c r="L466" t="str">
        <f t="shared" si="30"/>
        <v>Suspicious</v>
      </c>
    </row>
    <row r="467" spans="1:12" x14ac:dyDescent="0.25">
      <c r="A467" t="s">
        <v>555</v>
      </c>
      <c r="B467" t="s">
        <v>105</v>
      </c>
      <c r="C467" s="1">
        <v>45412</v>
      </c>
      <c r="D467">
        <v>93147</v>
      </c>
      <c r="E467" t="s">
        <v>10</v>
      </c>
      <c r="F467" t="s">
        <v>49</v>
      </c>
      <c r="G467" t="s">
        <v>43</v>
      </c>
      <c r="H467" t="s">
        <v>26</v>
      </c>
      <c r="I467" t="str">
        <f t="shared" si="31"/>
        <v>Tuesday</v>
      </c>
      <c r="J467" t="str">
        <f t="shared" si="28"/>
        <v>Weekday</v>
      </c>
      <c r="K467" t="str">
        <f t="shared" si="29"/>
        <v>High Value</v>
      </c>
      <c r="L467" t="str">
        <f t="shared" si="30"/>
        <v>Suspicious</v>
      </c>
    </row>
    <row r="468" spans="1:12" x14ac:dyDescent="0.25">
      <c r="A468" t="s">
        <v>556</v>
      </c>
      <c r="B468" t="s">
        <v>48</v>
      </c>
      <c r="C468" s="1">
        <v>45396</v>
      </c>
      <c r="D468">
        <v>111421</v>
      </c>
      <c r="E468" t="s">
        <v>10</v>
      </c>
      <c r="F468" t="s">
        <v>11</v>
      </c>
      <c r="G468" t="s">
        <v>25</v>
      </c>
      <c r="H468" t="s">
        <v>26</v>
      </c>
      <c r="I468" t="str">
        <f t="shared" si="31"/>
        <v>Sunday</v>
      </c>
      <c r="J468" t="str">
        <f t="shared" si="28"/>
        <v>Weekend</v>
      </c>
      <c r="K468" t="str">
        <f t="shared" si="29"/>
        <v>High Value</v>
      </c>
      <c r="L468" t="str">
        <f t="shared" si="30"/>
        <v>Suspicious</v>
      </c>
    </row>
    <row r="469" spans="1:12" x14ac:dyDescent="0.25">
      <c r="A469" t="s">
        <v>557</v>
      </c>
      <c r="B469" t="s">
        <v>56</v>
      </c>
      <c r="C469" s="1">
        <v>45330</v>
      </c>
      <c r="D469">
        <v>32022</v>
      </c>
      <c r="E469" t="s">
        <v>16</v>
      </c>
      <c r="F469" t="s">
        <v>52</v>
      </c>
      <c r="G469" t="s">
        <v>25</v>
      </c>
      <c r="H469" t="s">
        <v>13</v>
      </c>
      <c r="I469" t="str">
        <f t="shared" si="31"/>
        <v>Thursday</v>
      </c>
      <c r="J469" t="str">
        <f t="shared" si="28"/>
        <v>Weekday</v>
      </c>
      <c r="K469" t="str">
        <f t="shared" si="29"/>
        <v>Normal</v>
      </c>
      <c r="L469" t="str">
        <f t="shared" si="30"/>
        <v>Normal</v>
      </c>
    </row>
    <row r="470" spans="1:12" x14ac:dyDescent="0.25">
      <c r="A470" t="s">
        <v>558</v>
      </c>
      <c r="B470" t="s">
        <v>20</v>
      </c>
      <c r="C470" s="1">
        <v>45393</v>
      </c>
      <c r="D470">
        <v>49712</v>
      </c>
      <c r="E470" t="s">
        <v>10</v>
      </c>
      <c r="F470" t="s">
        <v>49</v>
      </c>
      <c r="G470" t="s">
        <v>43</v>
      </c>
      <c r="H470" t="s">
        <v>26</v>
      </c>
      <c r="I470" t="str">
        <f t="shared" si="31"/>
        <v>Thursday</v>
      </c>
      <c r="J470" t="str">
        <f t="shared" si="28"/>
        <v>Weekday</v>
      </c>
      <c r="K470" t="str">
        <f t="shared" si="29"/>
        <v>Normal</v>
      </c>
      <c r="L470" t="str">
        <f t="shared" si="30"/>
        <v>Normal</v>
      </c>
    </row>
    <row r="471" spans="1:12" x14ac:dyDescent="0.25">
      <c r="A471" t="s">
        <v>559</v>
      </c>
      <c r="B471" t="s">
        <v>70</v>
      </c>
      <c r="C471" s="1">
        <v>45360</v>
      </c>
      <c r="D471">
        <v>66702</v>
      </c>
      <c r="E471" t="s">
        <v>21</v>
      </c>
      <c r="F471" t="s">
        <v>46</v>
      </c>
      <c r="G471" t="s">
        <v>18</v>
      </c>
      <c r="H471" t="s">
        <v>13</v>
      </c>
      <c r="I471" t="str">
        <f t="shared" si="31"/>
        <v>Saturday</v>
      </c>
      <c r="J471" t="str">
        <f t="shared" si="28"/>
        <v>Weekend</v>
      </c>
      <c r="K471" t="str">
        <f t="shared" si="29"/>
        <v>High Value</v>
      </c>
      <c r="L471" t="str">
        <f t="shared" si="30"/>
        <v>Normal</v>
      </c>
    </row>
    <row r="472" spans="1:12" x14ac:dyDescent="0.25">
      <c r="A472" t="s">
        <v>560</v>
      </c>
      <c r="B472" t="s">
        <v>116</v>
      </c>
      <c r="C472" s="1">
        <v>45406</v>
      </c>
      <c r="D472">
        <v>106769</v>
      </c>
      <c r="E472" t="s">
        <v>32</v>
      </c>
      <c r="F472" t="s">
        <v>79</v>
      </c>
      <c r="G472" t="s">
        <v>34</v>
      </c>
      <c r="H472" t="s">
        <v>13</v>
      </c>
      <c r="I472" t="str">
        <f t="shared" si="31"/>
        <v>Wednesday</v>
      </c>
      <c r="J472" t="str">
        <f t="shared" si="28"/>
        <v>Weekday</v>
      </c>
      <c r="K472" t="str">
        <f t="shared" si="29"/>
        <v>High Value</v>
      </c>
      <c r="L472" t="str">
        <f t="shared" si="30"/>
        <v>Suspicious</v>
      </c>
    </row>
    <row r="473" spans="1:12" x14ac:dyDescent="0.25">
      <c r="A473" t="s">
        <v>561</v>
      </c>
      <c r="B473" t="s">
        <v>123</v>
      </c>
      <c r="C473" s="1">
        <v>45337</v>
      </c>
      <c r="D473">
        <v>22102</v>
      </c>
      <c r="E473" t="s">
        <v>10</v>
      </c>
      <c r="F473" t="s">
        <v>68</v>
      </c>
      <c r="G473" t="s">
        <v>18</v>
      </c>
      <c r="H473" t="s">
        <v>13</v>
      </c>
      <c r="I473" t="str">
        <f t="shared" si="31"/>
        <v>Thursday</v>
      </c>
      <c r="J473" t="str">
        <f t="shared" si="28"/>
        <v>Weekday</v>
      </c>
      <c r="K473" t="str">
        <f t="shared" si="29"/>
        <v>Normal</v>
      </c>
      <c r="L473" t="str">
        <f t="shared" si="30"/>
        <v>Normal</v>
      </c>
    </row>
    <row r="474" spans="1:12" x14ac:dyDescent="0.25">
      <c r="A474" t="s">
        <v>562</v>
      </c>
      <c r="B474" t="s">
        <v>65</v>
      </c>
      <c r="C474" s="1">
        <v>45378</v>
      </c>
      <c r="D474">
        <v>85069</v>
      </c>
      <c r="E474" t="s">
        <v>21</v>
      </c>
      <c r="F474" t="s">
        <v>46</v>
      </c>
      <c r="G474" t="s">
        <v>50</v>
      </c>
      <c r="H474" t="s">
        <v>26</v>
      </c>
      <c r="I474" t="str">
        <f t="shared" si="31"/>
        <v>Wednesday</v>
      </c>
      <c r="J474" t="str">
        <f t="shared" si="28"/>
        <v>Weekday</v>
      </c>
      <c r="K474" t="str">
        <f t="shared" si="29"/>
        <v>High Value</v>
      </c>
      <c r="L474" t="str">
        <f t="shared" si="30"/>
        <v>Suspicious</v>
      </c>
    </row>
    <row r="475" spans="1:12" x14ac:dyDescent="0.25">
      <c r="A475" t="s">
        <v>563</v>
      </c>
      <c r="B475" t="s">
        <v>224</v>
      </c>
      <c r="C475" s="1">
        <v>45304</v>
      </c>
      <c r="D475">
        <v>34213</v>
      </c>
      <c r="E475" t="s">
        <v>41</v>
      </c>
      <c r="F475" t="s">
        <v>98</v>
      </c>
      <c r="G475" t="s">
        <v>18</v>
      </c>
      <c r="H475" t="s">
        <v>13</v>
      </c>
      <c r="I475" t="str">
        <f t="shared" si="31"/>
        <v>Saturday</v>
      </c>
      <c r="J475" t="str">
        <f t="shared" si="28"/>
        <v>Weekend</v>
      </c>
      <c r="K475" t="str">
        <f t="shared" si="29"/>
        <v>Normal</v>
      </c>
      <c r="L475" t="str">
        <f t="shared" si="30"/>
        <v>Normal</v>
      </c>
    </row>
    <row r="476" spans="1:12" x14ac:dyDescent="0.25">
      <c r="A476" t="s">
        <v>564</v>
      </c>
      <c r="B476" t="s">
        <v>54</v>
      </c>
      <c r="C476" s="1">
        <v>45342</v>
      </c>
      <c r="D476">
        <v>60994</v>
      </c>
      <c r="E476" t="s">
        <v>37</v>
      </c>
      <c r="F476" t="s">
        <v>58</v>
      </c>
      <c r="G476" t="s">
        <v>50</v>
      </c>
      <c r="H476" t="s">
        <v>13</v>
      </c>
      <c r="I476" t="str">
        <f t="shared" si="31"/>
        <v>Tuesday</v>
      </c>
      <c r="J476" t="str">
        <f t="shared" si="28"/>
        <v>Weekday</v>
      </c>
      <c r="K476" t="str">
        <f t="shared" si="29"/>
        <v>High Value</v>
      </c>
      <c r="L476" t="str">
        <f t="shared" si="30"/>
        <v>Normal</v>
      </c>
    </row>
    <row r="477" spans="1:12" x14ac:dyDescent="0.25">
      <c r="A477" t="s">
        <v>565</v>
      </c>
      <c r="B477" t="s">
        <v>36</v>
      </c>
      <c r="C477" s="1">
        <v>45329</v>
      </c>
      <c r="D477">
        <v>54822</v>
      </c>
      <c r="E477" t="s">
        <v>37</v>
      </c>
      <c r="F477" t="s">
        <v>58</v>
      </c>
      <c r="G477" t="s">
        <v>34</v>
      </c>
      <c r="H477" t="s">
        <v>13</v>
      </c>
      <c r="I477" t="str">
        <f t="shared" si="31"/>
        <v>Wednesday</v>
      </c>
      <c r="J477" t="str">
        <f t="shared" si="28"/>
        <v>Weekday</v>
      </c>
      <c r="K477" t="str">
        <f t="shared" si="29"/>
        <v>High Value</v>
      </c>
      <c r="L477" t="str">
        <f t="shared" si="30"/>
        <v>Normal</v>
      </c>
    </row>
    <row r="478" spans="1:12" x14ac:dyDescent="0.25">
      <c r="A478" t="s">
        <v>566</v>
      </c>
      <c r="B478" t="s">
        <v>94</v>
      </c>
      <c r="C478" s="1">
        <v>45335</v>
      </c>
      <c r="D478">
        <v>59981</v>
      </c>
      <c r="E478" t="s">
        <v>32</v>
      </c>
      <c r="F478" t="s">
        <v>139</v>
      </c>
      <c r="G478" t="s">
        <v>18</v>
      </c>
      <c r="H478" t="s">
        <v>26</v>
      </c>
      <c r="I478" t="str">
        <f t="shared" si="31"/>
        <v>Tuesday</v>
      </c>
      <c r="J478" t="str">
        <f t="shared" si="28"/>
        <v>Weekday</v>
      </c>
      <c r="K478" t="str">
        <f t="shared" si="29"/>
        <v>High Value</v>
      </c>
      <c r="L478" t="str">
        <f t="shared" si="30"/>
        <v>Normal</v>
      </c>
    </row>
    <row r="479" spans="1:12" x14ac:dyDescent="0.25">
      <c r="A479" t="s">
        <v>567</v>
      </c>
      <c r="B479" t="s">
        <v>206</v>
      </c>
      <c r="C479" s="1">
        <v>45304</v>
      </c>
      <c r="D479">
        <v>57731</v>
      </c>
      <c r="E479" t="s">
        <v>32</v>
      </c>
      <c r="F479" t="s">
        <v>92</v>
      </c>
      <c r="G479" t="s">
        <v>50</v>
      </c>
      <c r="H479" t="s">
        <v>13</v>
      </c>
      <c r="I479" t="str">
        <f t="shared" si="31"/>
        <v>Saturday</v>
      </c>
      <c r="J479" t="str">
        <f t="shared" si="28"/>
        <v>Weekend</v>
      </c>
      <c r="K479" t="str">
        <f t="shared" si="29"/>
        <v>High Value</v>
      </c>
      <c r="L479" t="str">
        <f t="shared" si="30"/>
        <v>Normal</v>
      </c>
    </row>
    <row r="480" spans="1:12" x14ac:dyDescent="0.25">
      <c r="A480" t="s">
        <v>568</v>
      </c>
      <c r="B480" t="s">
        <v>138</v>
      </c>
      <c r="C480" s="1">
        <v>45395</v>
      </c>
      <c r="D480">
        <v>93463</v>
      </c>
      <c r="E480" t="s">
        <v>32</v>
      </c>
      <c r="F480" t="s">
        <v>79</v>
      </c>
      <c r="G480" t="s">
        <v>34</v>
      </c>
      <c r="H480" t="s">
        <v>26</v>
      </c>
      <c r="I480" t="str">
        <f t="shared" si="31"/>
        <v>Saturday</v>
      </c>
      <c r="J480" t="str">
        <f t="shared" si="28"/>
        <v>Weekend</v>
      </c>
      <c r="K480" t="str">
        <f t="shared" si="29"/>
        <v>High Value</v>
      </c>
      <c r="L480" t="str">
        <f t="shared" si="30"/>
        <v>Suspicious</v>
      </c>
    </row>
    <row r="481" spans="1:12" x14ac:dyDescent="0.25">
      <c r="A481" t="s">
        <v>569</v>
      </c>
      <c r="B481" t="s">
        <v>36</v>
      </c>
      <c r="C481" s="1">
        <v>45378</v>
      </c>
      <c r="D481">
        <v>105164</v>
      </c>
      <c r="E481" t="s">
        <v>10</v>
      </c>
      <c r="F481" t="s">
        <v>49</v>
      </c>
      <c r="G481" t="s">
        <v>25</v>
      </c>
      <c r="H481" t="s">
        <v>13</v>
      </c>
      <c r="I481" t="str">
        <f t="shared" si="31"/>
        <v>Wednesday</v>
      </c>
      <c r="J481" t="str">
        <f t="shared" si="28"/>
        <v>Weekday</v>
      </c>
      <c r="K481" t="str">
        <f t="shared" si="29"/>
        <v>High Value</v>
      </c>
      <c r="L481" t="str">
        <f t="shared" si="30"/>
        <v>Suspicious</v>
      </c>
    </row>
    <row r="482" spans="1:12" x14ac:dyDescent="0.25">
      <c r="A482" t="s">
        <v>570</v>
      </c>
      <c r="B482" t="s">
        <v>147</v>
      </c>
      <c r="C482" s="1">
        <v>45362</v>
      </c>
      <c r="D482">
        <v>21289</v>
      </c>
      <c r="E482" t="s">
        <v>21</v>
      </c>
      <c r="F482" t="s">
        <v>46</v>
      </c>
      <c r="G482" t="s">
        <v>18</v>
      </c>
      <c r="H482" t="s">
        <v>26</v>
      </c>
      <c r="I482" t="str">
        <f t="shared" si="31"/>
        <v>Monday</v>
      </c>
      <c r="J482" t="str">
        <f t="shared" si="28"/>
        <v>Weekday</v>
      </c>
      <c r="K482" t="str">
        <f t="shared" si="29"/>
        <v>Normal</v>
      </c>
      <c r="L482" t="str">
        <f t="shared" si="30"/>
        <v>Normal</v>
      </c>
    </row>
    <row r="483" spans="1:12" x14ac:dyDescent="0.25">
      <c r="A483" t="s">
        <v>571</v>
      </c>
      <c r="B483" t="s">
        <v>60</v>
      </c>
      <c r="C483" s="1">
        <v>45394</v>
      </c>
      <c r="D483">
        <v>53390</v>
      </c>
      <c r="E483" t="s">
        <v>37</v>
      </c>
      <c r="F483" t="s">
        <v>58</v>
      </c>
      <c r="G483" t="s">
        <v>12</v>
      </c>
      <c r="H483" t="s">
        <v>26</v>
      </c>
      <c r="I483" t="str">
        <f t="shared" si="31"/>
        <v>Friday</v>
      </c>
      <c r="J483" t="str">
        <f t="shared" si="28"/>
        <v>Weekday</v>
      </c>
      <c r="K483" t="str">
        <f t="shared" si="29"/>
        <v>High Value</v>
      </c>
      <c r="L483" t="str">
        <f t="shared" si="30"/>
        <v>Normal</v>
      </c>
    </row>
    <row r="484" spans="1:12" x14ac:dyDescent="0.25">
      <c r="A484" t="s">
        <v>572</v>
      </c>
      <c r="B484" t="s">
        <v>86</v>
      </c>
      <c r="C484" s="1">
        <v>45386</v>
      </c>
      <c r="D484">
        <v>80792</v>
      </c>
      <c r="E484" t="s">
        <v>37</v>
      </c>
      <c r="F484" t="s">
        <v>58</v>
      </c>
      <c r="G484" t="s">
        <v>43</v>
      </c>
      <c r="H484" t="s">
        <v>26</v>
      </c>
      <c r="I484" t="str">
        <f t="shared" si="31"/>
        <v>Thursday</v>
      </c>
      <c r="J484" t="str">
        <f t="shared" si="28"/>
        <v>Weekday</v>
      </c>
      <c r="K484" t="str">
        <f t="shared" si="29"/>
        <v>High Value</v>
      </c>
      <c r="L484" t="str">
        <f t="shared" si="30"/>
        <v>Suspicious</v>
      </c>
    </row>
    <row r="485" spans="1:12" x14ac:dyDescent="0.25">
      <c r="A485" t="s">
        <v>573</v>
      </c>
      <c r="B485" t="s">
        <v>224</v>
      </c>
      <c r="C485" s="1">
        <v>45382</v>
      </c>
      <c r="D485">
        <v>28453</v>
      </c>
      <c r="E485" t="s">
        <v>37</v>
      </c>
      <c r="F485" t="s">
        <v>58</v>
      </c>
      <c r="G485" t="s">
        <v>50</v>
      </c>
      <c r="H485" t="s">
        <v>13</v>
      </c>
      <c r="I485" t="str">
        <f t="shared" si="31"/>
        <v>Sunday</v>
      </c>
      <c r="J485" t="str">
        <f t="shared" si="28"/>
        <v>Weekend</v>
      </c>
      <c r="K485" t="str">
        <f t="shared" si="29"/>
        <v>Normal</v>
      </c>
      <c r="L485" t="str">
        <f t="shared" si="30"/>
        <v>Normal</v>
      </c>
    </row>
    <row r="486" spans="1:12" x14ac:dyDescent="0.25">
      <c r="A486" t="s">
        <v>574</v>
      </c>
      <c r="B486" t="s">
        <v>36</v>
      </c>
      <c r="C486" s="1">
        <v>45394</v>
      </c>
      <c r="D486">
        <v>114592</v>
      </c>
      <c r="E486" t="s">
        <v>21</v>
      </c>
      <c r="F486" t="s">
        <v>22</v>
      </c>
      <c r="G486" t="s">
        <v>50</v>
      </c>
      <c r="H486" t="s">
        <v>26</v>
      </c>
      <c r="I486" t="str">
        <f t="shared" si="31"/>
        <v>Friday</v>
      </c>
      <c r="J486" t="str">
        <f t="shared" si="28"/>
        <v>Weekday</v>
      </c>
      <c r="K486" t="str">
        <f t="shared" si="29"/>
        <v>High Value</v>
      </c>
      <c r="L486" t="str">
        <f t="shared" si="30"/>
        <v>Suspicious</v>
      </c>
    </row>
    <row r="487" spans="1:12" x14ac:dyDescent="0.25">
      <c r="A487" t="s">
        <v>575</v>
      </c>
      <c r="B487" t="s">
        <v>105</v>
      </c>
      <c r="C487" s="1">
        <v>45306</v>
      </c>
      <c r="D487">
        <v>34687</v>
      </c>
      <c r="E487" t="s">
        <v>16</v>
      </c>
      <c r="F487" t="s">
        <v>17</v>
      </c>
      <c r="G487" t="s">
        <v>43</v>
      </c>
      <c r="H487" t="s">
        <v>26</v>
      </c>
      <c r="I487" t="str">
        <f t="shared" si="31"/>
        <v>Monday</v>
      </c>
      <c r="J487" t="str">
        <f t="shared" si="28"/>
        <v>Weekday</v>
      </c>
      <c r="K487" t="str">
        <f t="shared" si="29"/>
        <v>Normal</v>
      </c>
      <c r="L487" t="str">
        <f t="shared" si="30"/>
        <v>Normal</v>
      </c>
    </row>
    <row r="488" spans="1:12" x14ac:dyDescent="0.25">
      <c r="A488" t="s">
        <v>576</v>
      </c>
      <c r="B488" t="s">
        <v>114</v>
      </c>
      <c r="C488" s="1">
        <v>45370</v>
      </c>
      <c r="D488">
        <v>51751</v>
      </c>
      <c r="E488" t="s">
        <v>21</v>
      </c>
      <c r="F488" t="s">
        <v>22</v>
      </c>
      <c r="G488" t="s">
        <v>50</v>
      </c>
      <c r="H488" t="s">
        <v>26</v>
      </c>
      <c r="I488" t="str">
        <f t="shared" si="31"/>
        <v>Tuesday</v>
      </c>
      <c r="J488" t="str">
        <f t="shared" si="28"/>
        <v>Weekday</v>
      </c>
      <c r="K488" t="str">
        <f t="shared" si="29"/>
        <v>High Value</v>
      </c>
      <c r="L488" t="str">
        <f t="shared" si="30"/>
        <v>Normal</v>
      </c>
    </row>
    <row r="489" spans="1:12" x14ac:dyDescent="0.25">
      <c r="A489" t="s">
        <v>577</v>
      </c>
      <c r="B489" t="s">
        <v>128</v>
      </c>
      <c r="C489" s="1">
        <v>45314</v>
      </c>
      <c r="D489">
        <v>106958</v>
      </c>
      <c r="E489" t="s">
        <v>37</v>
      </c>
      <c r="F489" t="s">
        <v>38</v>
      </c>
      <c r="G489" t="s">
        <v>18</v>
      </c>
      <c r="H489" t="s">
        <v>13</v>
      </c>
      <c r="I489" t="str">
        <f t="shared" si="31"/>
        <v>Tuesday</v>
      </c>
      <c r="J489" t="str">
        <f t="shared" si="28"/>
        <v>Weekday</v>
      </c>
      <c r="K489" t="str">
        <f t="shared" si="29"/>
        <v>High Value</v>
      </c>
      <c r="L489" t="str">
        <f t="shared" si="30"/>
        <v>Suspicious</v>
      </c>
    </row>
    <row r="490" spans="1:12" x14ac:dyDescent="0.25">
      <c r="A490" t="s">
        <v>578</v>
      </c>
      <c r="B490" t="s">
        <v>256</v>
      </c>
      <c r="C490" s="1">
        <v>45332</v>
      </c>
      <c r="D490">
        <v>15748</v>
      </c>
      <c r="E490" t="s">
        <v>10</v>
      </c>
      <c r="F490" t="s">
        <v>49</v>
      </c>
      <c r="G490" t="s">
        <v>50</v>
      </c>
      <c r="H490" t="s">
        <v>13</v>
      </c>
      <c r="I490" t="str">
        <f t="shared" si="31"/>
        <v>Saturday</v>
      </c>
      <c r="J490" t="str">
        <f t="shared" si="28"/>
        <v>Weekend</v>
      </c>
      <c r="K490" t="str">
        <f t="shared" si="29"/>
        <v>Normal</v>
      </c>
      <c r="L490" t="str">
        <f t="shared" si="30"/>
        <v>Normal</v>
      </c>
    </row>
    <row r="491" spans="1:12" x14ac:dyDescent="0.25">
      <c r="A491" t="s">
        <v>579</v>
      </c>
      <c r="B491" t="s">
        <v>54</v>
      </c>
      <c r="C491" s="1">
        <v>45380</v>
      </c>
      <c r="D491">
        <v>18828</v>
      </c>
      <c r="E491" t="s">
        <v>16</v>
      </c>
      <c r="F491" t="s">
        <v>17</v>
      </c>
      <c r="G491" t="s">
        <v>43</v>
      </c>
      <c r="H491" t="s">
        <v>26</v>
      </c>
      <c r="I491" t="str">
        <f t="shared" si="31"/>
        <v>Friday</v>
      </c>
      <c r="J491" t="str">
        <f t="shared" si="28"/>
        <v>Weekday</v>
      </c>
      <c r="K491" t="str">
        <f t="shared" si="29"/>
        <v>Normal</v>
      </c>
      <c r="L491" t="str">
        <f t="shared" si="30"/>
        <v>Normal</v>
      </c>
    </row>
    <row r="492" spans="1:12" x14ac:dyDescent="0.25">
      <c r="A492" t="s">
        <v>580</v>
      </c>
      <c r="B492" t="s">
        <v>256</v>
      </c>
      <c r="C492" s="1">
        <v>45365</v>
      </c>
      <c r="D492">
        <v>50593</v>
      </c>
      <c r="E492" t="s">
        <v>21</v>
      </c>
      <c r="F492" t="s">
        <v>46</v>
      </c>
      <c r="G492" t="s">
        <v>12</v>
      </c>
      <c r="H492" t="s">
        <v>26</v>
      </c>
      <c r="I492" t="str">
        <f t="shared" si="31"/>
        <v>Thursday</v>
      </c>
      <c r="J492" t="str">
        <f t="shared" si="28"/>
        <v>Weekday</v>
      </c>
      <c r="K492" t="str">
        <f t="shared" si="29"/>
        <v>High Value</v>
      </c>
      <c r="L492" t="str">
        <f t="shared" si="30"/>
        <v>Normal</v>
      </c>
    </row>
    <row r="493" spans="1:12" x14ac:dyDescent="0.25">
      <c r="A493" t="s">
        <v>581</v>
      </c>
      <c r="B493" t="s">
        <v>77</v>
      </c>
      <c r="C493" s="1">
        <v>45380</v>
      </c>
      <c r="D493">
        <v>84875</v>
      </c>
      <c r="E493" t="s">
        <v>10</v>
      </c>
      <c r="F493" t="s">
        <v>49</v>
      </c>
      <c r="G493" t="s">
        <v>18</v>
      </c>
      <c r="H493" t="s">
        <v>13</v>
      </c>
      <c r="I493" t="str">
        <f t="shared" si="31"/>
        <v>Friday</v>
      </c>
      <c r="J493" t="str">
        <f t="shared" si="28"/>
        <v>Weekday</v>
      </c>
      <c r="K493" t="str">
        <f t="shared" si="29"/>
        <v>High Value</v>
      </c>
      <c r="L493" t="str">
        <f t="shared" si="30"/>
        <v>Suspicious</v>
      </c>
    </row>
    <row r="494" spans="1:12" x14ac:dyDescent="0.25">
      <c r="A494" t="s">
        <v>582</v>
      </c>
      <c r="B494" t="s">
        <v>45</v>
      </c>
      <c r="C494" s="1">
        <v>45309</v>
      </c>
      <c r="D494">
        <v>24823</v>
      </c>
      <c r="E494" t="s">
        <v>37</v>
      </c>
      <c r="F494" t="s">
        <v>38</v>
      </c>
      <c r="G494" t="s">
        <v>43</v>
      </c>
      <c r="H494" t="s">
        <v>13</v>
      </c>
      <c r="I494" t="str">
        <f t="shared" si="31"/>
        <v>Thursday</v>
      </c>
      <c r="J494" t="str">
        <f t="shared" si="28"/>
        <v>Weekday</v>
      </c>
      <c r="K494" t="str">
        <f t="shared" si="29"/>
        <v>Normal</v>
      </c>
      <c r="L494" t="str">
        <f t="shared" si="30"/>
        <v>Normal</v>
      </c>
    </row>
    <row r="495" spans="1:12" x14ac:dyDescent="0.25">
      <c r="A495" t="s">
        <v>583</v>
      </c>
      <c r="B495" t="s">
        <v>224</v>
      </c>
      <c r="C495" s="1">
        <v>45354</v>
      </c>
      <c r="D495">
        <v>18195</v>
      </c>
      <c r="E495" t="s">
        <v>32</v>
      </c>
      <c r="F495" t="s">
        <v>139</v>
      </c>
      <c r="G495" t="s">
        <v>43</v>
      </c>
      <c r="H495" t="s">
        <v>26</v>
      </c>
      <c r="I495" t="str">
        <f t="shared" si="31"/>
        <v>Sunday</v>
      </c>
      <c r="J495" t="str">
        <f t="shared" si="28"/>
        <v>Weekend</v>
      </c>
      <c r="K495" t="str">
        <f t="shared" si="29"/>
        <v>Normal</v>
      </c>
      <c r="L495" t="str">
        <f t="shared" si="30"/>
        <v>Normal</v>
      </c>
    </row>
    <row r="496" spans="1:12" x14ac:dyDescent="0.25">
      <c r="A496" t="s">
        <v>584</v>
      </c>
      <c r="B496" t="s">
        <v>227</v>
      </c>
      <c r="C496" s="1">
        <v>45354</v>
      </c>
      <c r="D496">
        <v>54777</v>
      </c>
      <c r="E496" t="s">
        <v>37</v>
      </c>
      <c r="F496" t="s">
        <v>38</v>
      </c>
      <c r="G496" t="s">
        <v>43</v>
      </c>
      <c r="H496" t="s">
        <v>13</v>
      </c>
      <c r="I496" t="str">
        <f t="shared" si="31"/>
        <v>Sunday</v>
      </c>
      <c r="J496" t="str">
        <f t="shared" si="28"/>
        <v>Weekend</v>
      </c>
      <c r="K496" t="str">
        <f t="shared" si="29"/>
        <v>High Value</v>
      </c>
      <c r="L496" t="str">
        <f t="shared" si="30"/>
        <v>Normal</v>
      </c>
    </row>
    <row r="497" spans="1:12" x14ac:dyDescent="0.25">
      <c r="A497" t="s">
        <v>585</v>
      </c>
      <c r="B497" t="s">
        <v>88</v>
      </c>
      <c r="C497" s="1">
        <v>45295</v>
      </c>
      <c r="D497">
        <v>104617</v>
      </c>
      <c r="E497" t="s">
        <v>41</v>
      </c>
      <c r="F497" t="s">
        <v>98</v>
      </c>
      <c r="G497" t="s">
        <v>50</v>
      </c>
      <c r="H497" t="s">
        <v>13</v>
      </c>
      <c r="I497" t="str">
        <f t="shared" si="31"/>
        <v>Thursday</v>
      </c>
      <c r="J497" t="str">
        <f t="shared" si="28"/>
        <v>Weekday</v>
      </c>
      <c r="K497" t="str">
        <f t="shared" si="29"/>
        <v>High Value</v>
      </c>
      <c r="L497" t="str">
        <f t="shared" si="30"/>
        <v>Suspicious</v>
      </c>
    </row>
    <row r="498" spans="1:12" x14ac:dyDescent="0.25">
      <c r="A498" t="s">
        <v>586</v>
      </c>
      <c r="B498" t="s">
        <v>60</v>
      </c>
      <c r="C498" s="1">
        <v>45360</v>
      </c>
      <c r="D498">
        <v>38136</v>
      </c>
      <c r="E498" t="s">
        <v>32</v>
      </c>
      <c r="F498" t="s">
        <v>139</v>
      </c>
      <c r="G498" t="s">
        <v>43</v>
      </c>
      <c r="H498" t="s">
        <v>26</v>
      </c>
      <c r="I498" t="str">
        <f t="shared" si="31"/>
        <v>Saturday</v>
      </c>
      <c r="J498" t="str">
        <f t="shared" si="28"/>
        <v>Weekend</v>
      </c>
      <c r="K498" t="str">
        <f t="shared" si="29"/>
        <v>Normal</v>
      </c>
      <c r="L498" t="str">
        <f t="shared" si="30"/>
        <v>Normal</v>
      </c>
    </row>
    <row r="499" spans="1:12" x14ac:dyDescent="0.25">
      <c r="A499" t="s">
        <v>587</v>
      </c>
      <c r="B499" t="s">
        <v>82</v>
      </c>
      <c r="C499" s="1">
        <v>45306</v>
      </c>
      <c r="D499">
        <v>75366</v>
      </c>
      <c r="E499" t="s">
        <v>21</v>
      </c>
      <c r="F499" t="s">
        <v>22</v>
      </c>
      <c r="G499" t="s">
        <v>50</v>
      </c>
      <c r="H499" t="s">
        <v>26</v>
      </c>
      <c r="I499" t="str">
        <f t="shared" si="31"/>
        <v>Monday</v>
      </c>
      <c r="J499" t="str">
        <f t="shared" si="28"/>
        <v>Weekday</v>
      </c>
      <c r="K499" t="str">
        <f t="shared" si="29"/>
        <v>High Value</v>
      </c>
      <c r="L499" t="str">
        <f t="shared" si="30"/>
        <v>Suspicious</v>
      </c>
    </row>
    <row r="500" spans="1:12" x14ac:dyDescent="0.25">
      <c r="A500" t="s">
        <v>588</v>
      </c>
      <c r="B500" t="s">
        <v>72</v>
      </c>
      <c r="C500" s="1">
        <v>45297</v>
      </c>
      <c r="D500">
        <v>99915</v>
      </c>
      <c r="E500" t="s">
        <v>21</v>
      </c>
      <c r="F500" t="s">
        <v>46</v>
      </c>
      <c r="G500" t="s">
        <v>18</v>
      </c>
      <c r="H500" t="s">
        <v>13</v>
      </c>
      <c r="I500" t="str">
        <f t="shared" si="31"/>
        <v>Saturday</v>
      </c>
      <c r="J500" t="str">
        <f t="shared" si="28"/>
        <v>Weekend</v>
      </c>
      <c r="K500" t="str">
        <f t="shared" si="29"/>
        <v>High Value</v>
      </c>
      <c r="L500" t="str">
        <f t="shared" si="30"/>
        <v>Suspicious</v>
      </c>
    </row>
    <row r="501" spans="1:12" x14ac:dyDescent="0.25">
      <c r="A501" t="s">
        <v>589</v>
      </c>
      <c r="B501" t="s">
        <v>36</v>
      </c>
      <c r="C501" s="1">
        <v>45386</v>
      </c>
      <c r="D501">
        <v>109099</v>
      </c>
      <c r="E501" t="s">
        <v>37</v>
      </c>
      <c r="F501" t="s">
        <v>58</v>
      </c>
      <c r="G501" t="s">
        <v>50</v>
      </c>
      <c r="H501" t="s">
        <v>13</v>
      </c>
      <c r="I501" t="str">
        <f t="shared" si="31"/>
        <v>Thursday</v>
      </c>
      <c r="J501" t="str">
        <f t="shared" si="28"/>
        <v>Weekday</v>
      </c>
      <c r="K501" t="str">
        <f t="shared" si="29"/>
        <v>High Value</v>
      </c>
      <c r="L501" t="str">
        <f t="shared" si="30"/>
        <v>Suspicious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Monthly_Trend</vt:lpstr>
      <vt:lpstr>Category Analysis</vt:lpstr>
      <vt:lpstr>high spending customers</vt:lpstr>
      <vt:lpstr>weekend analysis</vt:lpstr>
      <vt:lpstr>Dashboard</vt:lpstr>
      <vt:lpstr>credit_card_transactions_500_ro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Kjch40</dc:creator>
  <cp:lastModifiedBy>Kjch40@KJC.LOCAL</cp:lastModifiedBy>
  <dcterms:created xsi:type="dcterms:W3CDTF">2026-01-07T07:31:16Z</dcterms:created>
  <dcterms:modified xsi:type="dcterms:W3CDTF">2026-01-07T09:21:08Z</dcterms:modified>
</cp:coreProperties>
</file>